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2CF38C23-6745-449D-84AD-D45540A33F55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사용 가이드" sheetId="1" r:id="rId1"/>
    <sheet name="🗓️ 간트 차트" sheetId="2" r:id="rId2"/>
    <sheet name="📋 WBS 분해도" sheetId="3" r:id="rId3"/>
    <sheet name="🔵 샘플 (AI 자소서 코칭)" sheetId="4" r:id="rId4"/>
  </sheets>
  <definedNames>
    <definedName name="_xlnm.Print_Area" localSheetId="3">'🔵 샘플 (AI 자소서 코칭)'!$A$1:$W$42</definedName>
    <definedName name="_xlnm.Print_Area" localSheetId="1">'🗓️ 간트 차트'!$A$1:$W$43</definedName>
    <definedName name="_xlnm.Print_Area" localSheetId="0">'사용 가이드'!$A$1:$C$52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2" l="1"/>
  <c r="J8" i="2"/>
  <c r="E33" i="4"/>
  <c r="F33" i="4" s="1"/>
  <c r="D33" i="4"/>
  <c r="E32" i="4"/>
  <c r="D32" i="4"/>
  <c r="F32" i="4" s="1"/>
  <c r="E31" i="4"/>
  <c r="D31" i="4"/>
  <c r="F31" i="4" s="1"/>
  <c r="E29" i="4"/>
  <c r="D29" i="4"/>
  <c r="F29" i="4" s="1"/>
  <c r="E28" i="4"/>
  <c r="D28" i="4"/>
  <c r="F28" i="4" s="1"/>
  <c r="E27" i="4"/>
  <c r="D27" i="4"/>
  <c r="F27" i="4" s="1"/>
  <c r="E25" i="4"/>
  <c r="D25" i="4"/>
  <c r="F25" i="4" s="1"/>
  <c r="E24" i="4"/>
  <c r="D24" i="4"/>
  <c r="F24" i="4" s="1"/>
  <c r="E23" i="4"/>
  <c r="D23" i="4"/>
  <c r="F23" i="4" s="1"/>
  <c r="E22" i="4"/>
  <c r="D22" i="4"/>
  <c r="F22" i="4" s="1"/>
  <c r="E20" i="4"/>
  <c r="D20" i="4"/>
  <c r="F20" i="4" s="1"/>
  <c r="E19" i="4"/>
  <c r="D19" i="4"/>
  <c r="F19" i="4" s="1"/>
  <c r="E18" i="4"/>
  <c r="D18" i="4"/>
  <c r="F18" i="4" s="1"/>
  <c r="E17" i="4"/>
  <c r="D17" i="4"/>
  <c r="F17" i="4" s="1"/>
  <c r="E16" i="4"/>
  <c r="D16" i="4"/>
  <c r="F16" i="4" s="1"/>
  <c r="E14" i="4"/>
  <c r="D14" i="4"/>
  <c r="F14" i="4" s="1"/>
  <c r="E13" i="4"/>
  <c r="D13" i="4"/>
  <c r="F13" i="4" s="1"/>
  <c r="E12" i="4"/>
  <c r="D12" i="4"/>
  <c r="F12" i="4" s="1"/>
  <c r="E11" i="4"/>
  <c r="D11" i="4"/>
  <c r="F11" i="4" s="1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H5" i="4"/>
  <c r="E5" i="4"/>
  <c r="E33" i="2"/>
  <c r="D33" i="2"/>
  <c r="F33" i="2" s="1"/>
  <c r="E32" i="2"/>
  <c r="D32" i="2"/>
  <c r="F32" i="2" s="1"/>
  <c r="E31" i="2"/>
  <c r="D31" i="2"/>
  <c r="F31" i="2" s="1"/>
  <c r="E28" i="2"/>
  <c r="D28" i="2"/>
  <c r="F28" i="2" s="1"/>
  <c r="F27" i="2"/>
  <c r="E27" i="2"/>
  <c r="D27" i="2"/>
  <c r="E26" i="2"/>
  <c r="D26" i="2"/>
  <c r="F26" i="2" s="1"/>
  <c r="E24" i="2"/>
  <c r="D24" i="2"/>
  <c r="F24" i="2" s="1"/>
  <c r="E23" i="2"/>
  <c r="D23" i="2"/>
  <c r="F23" i="2" s="1"/>
  <c r="E22" i="2"/>
  <c r="D22" i="2"/>
  <c r="F22" i="2" s="1"/>
  <c r="E21" i="2"/>
  <c r="D21" i="2"/>
  <c r="F21" i="2" s="1"/>
  <c r="E19" i="2"/>
  <c r="D19" i="2"/>
  <c r="F19" i="2" s="1"/>
  <c r="E18" i="2"/>
  <c r="D18" i="2"/>
  <c r="F18" i="2" s="1"/>
  <c r="E17" i="2"/>
  <c r="D17" i="2"/>
  <c r="F17" i="2" s="1"/>
  <c r="E16" i="2"/>
  <c r="F16" i="2" s="1"/>
  <c r="D16" i="2"/>
  <c r="E14" i="2"/>
  <c r="D14" i="2"/>
  <c r="F14" i="2" s="1"/>
  <c r="E13" i="2"/>
  <c r="D13" i="2"/>
  <c r="F13" i="2" s="1"/>
  <c r="E12" i="2"/>
  <c r="D12" i="2"/>
  <c r="F12" i="2" s="1"/>
  <c r="D11" i="2"/>
  <c r="F11" i="2" s="1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N9" i="2" s="1"/>
  <c r="AM8" i="2"/>
  <c r="AM9" i="2" s="1"/>
  <c r="AL8" i="2"/>
  <c r="AL9" i="2" s="1"/>
  <c r="AK8" i="2"/>
  <c r="AK9" i="2" s="1"/>
  <c r="AJ8" i="2"/>
  <c r="AJ9" i="2" s="1"/>
  <c r="AI8" i="2"/>
  <c r="AI9" i="2" s="1"/>
  <c r="AH8" i="2"/>
  <c r="AH9" i="2" s="1"/>
  <c r="AG8" i="2"/>
  <c r="AG9" i="2" s="1"/>
  <c r="AF8" i="2"/>
  <c r="AF9" i="2" s="1"/>
  <c r="AE8" i="2"/>
  <c r="AE9" i="2" s="1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L9" i="2" s="1"/>
  <c r="K8" i="2"/>
  <c r="K9" i="2" s="1"/>
  <c r="J9" i="2"/>
  <c r="H5" i="2"/>
  <c r="E5" i="2"/>
</calcChain>
</file>

<file path=xl/sharedStrings.xml><?xml version="1.0" encoding="utf-8"?>
<sst xmlns="http://schemas.openxmlformats.org/spreadsheetml/2006/main" count="838" uniqueCount="483">
  <si>
    <t>📋 관통PJT 간트 차트 템플릿 — 사용 가이드</t>
  </si>
  <si>
    <r>
      <rPr>
        <i/>
        <sz val="11"/>
        <color rgb="FF595959"/>
        <rFont val="맑은 고딕"/>
        <family val="3"/>
        <charset val="129"/>
      </rPr>
      <t>7~14</t>
    </r>
    <r>
      <rPr>
        <i/>
        <sz val="11"/>
        <color rgb="FF595959"/>
        <rFont val="Noto Sans CJK SC"/>
        <family val="2"/>
      </rPr>
      <t xml:space="preserve">일짜리 </t>
    </r>
    <r>
      <rPr>
        <i/>
        <sz val="11"/>
        <color rgb="FF595959"/>
        <rFont val="맑은 고딕"/>
        <family val="3"/>
        <charset val="129"/>
      </rPr>
      <t>PJT</t>
    </r>
    <r>
      <rPr>
        <i/>
        <sz val="11"/>
        <color rgb="FF595959"/>
        <rFont val="Noto Sans CJK SC"/>
        <family val="2"/>
      </rPr>
      <t>의 일정</t>
    </r>
    <r>
      <rPr>
        <i/>
        <sz val="11"/>
        <color rgb="FF595959"/>
        <rFont val="맑은 고딕"/>
        <family val="3"/>
        <charset val="129"/>
      </rPr>
      <t>·</t>
    </r>
    <r>
      <rPr>
        <i/>
        <sz val="11"/>
        <color rgb="FF595959"/>
        <rFont val="Noto Sans CJK SC"/>
        <family val="2"/>
      </rPr>
      <t>진행 상황을 한눈에 보기 위한 도구이며 샘플 데이터이기 때문에 참고용으로 활용 바랍니다</t>
    </r>
    <r>
      <rPr>
        <i/>
        <sz val="11"/>
        <color rgb="FF595959"/>
        <rFont val="맑은 고딕"/>
        <family val="3"/>
        <charset val="129"/>
      </rPr>
      <t>.</t>
    </r>
  </si>
  <si>
    <r>
      <rPr>
        <b/>
        <sz val="14"/>
        <color rgb="FF1F4E79"/>
        <rFont val="맑은 고딕"/>
        <family val="3"/>
        <charset val="129"/>
      </rPr>
      <t xml:space="preserve">1️⃣ </t>
    </r>
    <r>
      <rPr>
        <b/>
        <sz val="14"/>
        <color rgb="FF1F4E79"/>
        <rFont val="Noto Sans CJK SC"/>
        <family val="2"/>
      </rPr>
      <t>이 템플릿은 무엇인가요</t>
    </r>
    <r>
      <rPr>
        <b/>
        <sz val="14"/>
        <color rgb="FF1F4E79"/>
        <rFont val="맑은 고딕"/>
        <family val="3"/>
        <charset val="129"/>
      </rPr>
      <t>?</t>
    </r>
  </si>
  <si>
    <r>
      <rPr>
        <sz val="10"/>
        <color rgb="FF000000"/>
        <rFont val="맑은 고딕"/>
        <family val="3"/>
        <charset val="129"/>
      </rPr>
      <t>WBS(</t>
    </r>
    <r>
      <rPr>
        <sz val="10"/>
        <color rgb="FF000000"/>
        <rFont val="Noto Sans CJK SC"/>
        <family val="2"/>
      </rPr>
      <t>작업 분해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 xml:space="preserve">와 </t>
    </r>
    <r>
      <rPr>
        <sz val="10"/>
        <color rgb="FF000000"/>
        <rFont val="맑은 고딕"/>
        <family val="3"/>
        <charset val="129"/>
      </rPr>
      <t>Gantt Chart(</t>
    </r>
    <r>
      <rPr>
        <sz val="10"/>
        <color rgb="FF000000"/>
        <rFont val="Noto Sans CJK SC"/>
        <family val="2"/>
      </rPr>
      <t>타임라인 시각화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를 한 시트에서 관리합니다</t>
    </r>
    <r>
      <rPr>
        <sz val="10"/>
        <color rgb="FF000000"/>
        <rFont val="맑은 고딕"/>
        <family val="3"/>
        <charset val="129"/>
      </rPr>
      <t>.</t>
    </r>
  </si>
  <si>
    <t>팀원이 각자 무엇을, 언제까지, 어디까지 했는지 한눈에 보이게 해줍니다.</t>
  </si>
  <si>
    <t>강의에서 다룬 '우리 팀의 그라운드룰'을 실제로 굴리기 위한 도구입니다.</t>
  </si>
  <si>
    <r>
      <rPr>
        <b/>
        <sz val="14"/>
        <color rgb="FF1F4E79"/>
        <rFont val="맑은 고딕"/>
        <family val="3"/>
        <charset val="129"/>
      </rPr>
      <t xml:space="preserve">2️⃣ </t>
    </r>
    <r>
      <rPr>
        <b/>
        <sz val="14"/>
        <color rgb="FF1F4E79"/>
        <rFont val="Noto Sans CJK SC"/>
        <family val="2"/>
      </rPr>
      <t xml:space="preserve">작성 순서 </t>
    </r>
    <r>
      <rPr>
        <b/>
        <sz val="14"/>
        <color rgb="FF1F4E79"/>
        <rFont val="맑은 고딕"/>
        <family val="3"/>
        <charset val="129"/>
      </rPr>
      <t>(10</t>
    </r>
    <r>
      <rPr>
        <b/>
        <sz val="14"/>
        <color rgb="FF1F4E79"/>
        <rFont val="Noto Sans CJK SC"/>
        <family val="2"/>
      </rPr>
      <t>분이면 끝</t>
    </r>
    <r>
      <rPr>
        <b/>
        <sz val="14"/>
        <color rgb="FF1F4E79"/>
        <rFont val="맑은 고딕"/>
        <family val="3"/>
        <charset val="129"/>
      </rPr>
      <t>)</t>
    </r>
  </si>
  <si>
    <t>STEP 1.</t>
  </si>
  <si>
    <r>
      <rPr>
        <sz val="10"/>
        <color rgb="FF000000"/>
        <rFont val="맑은 고딕"/>
        <family val="3"/>
        <charset val="129"/>
      </rPr>
      <t xml:space="preserve">'🗓️ </t>
    </r>
    <r>
      <rPr>
        <sz val="10"/>
        <color rgb="FF000000"/>
        <rFont val="Noto Sans CJK SC"/>
        <family val="2"/>
      </rPr>
      <t>간트 차트</t>
    </r>
    <r>
      <rPr>
        <sz val="10"/>
        <color rgb="FF000000"/>
        <rFont val="맑은 고딕"/>
        <family val="3"/>
        <charset val="129"/>
      </rPr>
      <t xml:space="preserve">' </t>
    </r>
    <r>
      <rPr>
        <sz val="10"/>
        <color rgb="FF000000"/>
        <rFont val="Noto Sans CJK SC"/>
        <family val="2"/>
      </rPr>
      <t>시트로 이동합니다</t>
    </r>
    <r>
      <rPr>
        <sz val="10"/>
        <color rgb="FF000000"/>
        <rFont val="맑은 고딕"/>
        <family val="3"/>
        <charset val="129"/>
      </rPr>
      <t>.</t>
    </r>
  </si>
  <si>
    <t>STEP 2.</t>
  </si>
  <si>
    <t>상단 헤더(팀명, PJT 제목, 시작일/종료일)를 채웁니다.</t>
  </si>
  <si>
    <t>STEP 3.</t>
  </si>
  <si>
    <t>시작일을 바꾸면 Day 1~14의 날짜가 자동으로 따라옵니다.</t>
  </si>
  <si>
    <t>STEP 4.</t>
  </si>
  <si>
    <r>
      <rPr>
        <sz val="10"/>
        <color rgb="FF000000"/>
        <rFont val="맑은 고딕"/>
        <family val="3"/>
        <charset val="129"/>
      </rPr>
      <t xml:space="preserve">WBS </t>
    </r>
    <r>
      <rPr>
        <sz val="10"/>
        <color rgb="FF000000"/>
        <rFont val="Noto Sans CJK SC"/>
        <family val="2"/>
      </rPr>
      <t xml:space="preserve">번호를 따라 작업을 나열합니다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1.0 / 1.1 / 1.1.1).</t>
    </r>
  </si>
  <si>
    <t>STEP 5.</t>
  </si>
  <si>
    <t>각 작업의 담당자, 시작일, 종료일을 입력합니다.</t>
  </si>
  <si>
    <t>STEP 6.</t>
  </si>
  <si>
    <t>진행률(0~100%)과 상태를 매일 데일리 스크럼 때 업데이트합니다.</t>
  </si>
  <si>
    <t>STEP 7.</t>
  </si>
  <si>
    <r>
      <rPr>
        <sz val="10"/>
        <color rgb="FF000000"/>
        <rFont val="맑은 고딕"/>
        <family val="3"/>
        <charset val="129"/>
      </rPr>
      <t>Day</t>
    </r>
    <r>
      <rPr>
        <sz val="10"/>
        <color rgb="FF000000"/>
        <rFont val="Noto Sans CJK SC"/>
        <family val="2"/>
      </rPr>
      <t xml:space="preserve">별 색칠은 자동으로 됩니다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>~</t>
    </r>
    <r>
      <rPr>
        <sz val="10"/>
        <color rgb="FF000000"/>
        <rFont val="Noto Sans CJK SC"/>
        <family val="2"/>
      </rPr>
      <t>종료일 사이가 파란 막대로 표시</t>
    </r>
    <r>
      <rPr>
        <sz val="10"/>
        <color rgb="FF000000"/>
        <rFont val="맑은 고딕"/>
        <family val="3"/>
        <charset val="129"/>
      </rPr>
      <t>).</t>
    </r>
  </si>
  <si>
    <r>
      <rPr>
        <b/>
        <sz val="14"/>
        <color rgb="FF1F4E79"/>
        <rFont val="맑은 고딕"/>
        <family val="3"/>
        <charset val="129"/>
      </rPr>
      <t xml:space="preserve">3️⃣ </t>
    </r>
    <r>
      <rPr>
        <b/>
        <sz val="14"/>
        <color rgb="FF1F4E79"/>
        <rFont val="Noto Sans CJK SC"/>
        <family val="2"/>
      </rPr>
      <t>컬럼 설명</t>
    </r>
  </si>
  <si>
    <r>
      <rPr>
        <b/>
        <sz val="10"/>
        <color rgb="FF595959"/>
        <rFont val="맑은 고딕"/>
        <family val="3"/>
        <charset val="129"/>
      </rPr>
      <t xml:space="preserve">WBS </t>
    </r>
    <r>
      <rPr>
        <b/>
        <sz val="10"/>
        <color rgb="FF595959"/>
        <rFont val="Noto Sans CJK SC"/>
        <family val="2"/>
      </rPr>
      <t>번호</t>
    </r>
  </si>
  <si>
    <t>작업의 계층 번호. 예: 1.0(Phase) / 1.1(Story) / 1.1.1(Task)</t>
  </si>
  <si>
    <t>작업 내용</t>
  </si>
  <si>
    <t>구체적인 작업명. '코칭 API 구현'처럼 명확하게.</t>
  </si>
  <si>
    <t>담당자</t>
  </si>
  <si>
    <t>주 책임자 한 명. '여러 명'이라고 적지 마세요.</t>
  </si>
  <si>
    <t>시작일/종료일</t>
  </si>
  <si>
    <r>
      <rPr>
        <sz val="10"/>
        <color rgb="FF000000"/>
        <rFont val="맑은 고딕"/>
        <family val="3"/>
        <charset val="129"/>
      </rPr>
      <t xml:space="preserve">yyyy-mm-dd </t>
    </r>
    <r>
      <rPr>
        <sz val="10"/>
        <color rgb="FF000000"/>
        <rFont val="Noto Sans CJK SC"/>
        <family val="2"/>
      </rPr>
      <t>형식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셀 클릭 후 날짜 입력</t>
    </r>
    <r>
      <rPr>
        <sz val="10"/>
        <color rgb="FF000000"/>
        <rFont val="맑은 고딕"/>
        <family val="3"/>
        <charset val="129"/>
      </rPr>
      <t>.</t>
    </r>
  </si>
  <si>
    <t>기간(일)</t>
  </si>
  <si>
    <t>자동 계산 (종료일 − 시작일 + 1).</t>
  </si>
  <si>
    <t>진행률</t>
  </si>
  <si>
    <r>
      <rPr>
        <sz val="10"/>
        <color rgb="FF000000"/>
        <rFont val="맑은 고딕"/>
        <family val="3"/>
        <charset val="129"/>
      </rPr>
      <t xml:space="preserve">0~100%. </t>
    </r>
    <r>
      <rPr>
        <sz val="10"/>
        <color rgb="FF000000"/>
        <rFont val="Noto Sans CJK SC"/>
        <family val="2"/>
      </rPr>
      <t xml:space="preserve">셀에 </t>
    </r>
    <r>
      <rPr>
        <sz val="10"/>
        <color rgb="FF000000"/>
        <rFont val="맑은 고딕"/>
        <family val="3"/>
        <charset val="129"/>
      </rPr>
      <t xml:space="preserve">0.5 </t>
    </r>
    <r>
      <rPr>
        <sz val="10"/>
        <color rgb="FF000000"/>
        <rFont val="Noto Sans CJK SC"/>
        <family val="2"/>
      </rPr>
      <t xml:space="preserve">입력 시 자동으로 </t>
    </r>
    <r>
      <rPr>
        <sz val="10"/>
        <color rgb="FF000000"/>
        <rFont val="맑은 고딕"/>
        <family val="3"/>
        <charset val="129"/>
      </rPr>
      <t>50%</t>
    </r>
    <r>
      <rPr>
        <sz val="10"/>
        <color rgb="FF000000"/>
        <rFont val="Noto Sans CJK SC"/>
        <family val="2"/>
      </rPr>
      <t>로 표시</t>
    </r>
    <r>
      <rPr>
        <sz val="10"/>
        <color rgb="FF000000"/>
        <rFont val="맑은 고딕"/>
        <family val="3"/>
        <charset val="129"/>
      </rPr>
      <t>.</t>
    </r>
  </si>
  <si>
    <t>상태</t>
  </si>
  <si>
    <t>드롭다운: 시작 전 / 진행 중 / 주의 / 지연 / 완료</t>
  </si>
  <si>
    <t>선행 작업</t>
  </si>
  <si>
    <t>이 작업 전에 끝나야 하는 작업의 WBS 번호 (예: 1.2)</t>
  </si>
  <si>
    <r>
      <rPr>
        <b/>
        <sz val="14"/>
        <color rgb="FF1F4E79"/>
        <rFont val="맑은 고딕"/>
        <family val="3"/>
        <charset val="129"/>
      </rPr>
      <t xml:space="preserve">4️⃣ </t>
    </r>
    <r>
      <rPr>
        <b/>
        <sz val="14"/>
        <color rgb="FF1F4E79"/>
        <rFont val="Noto Sans CJK SC"/>
        <family val="2"/>
      </rPr>
      <t>상태</t>
    </r>
    <r>
      <rPr>
        <b/>
        <sz val="14"/>
        <color rgb="FF1F4E79"/>
        <rFont val="맑은 고딕"/>
        <family val="3"/>
        <charset val="129"/>
      </rPr>
      <t xml:space="preserve">(Status) </t>
    </r>
    <r>
      <rPr>
        <b/>
        <sz val="14"/>
        <color rgb="FF1F4E79"/>
        <rFont val="Noto Sans CJK SC"/>
        <family val="2"/>
      </rPr>
      <t>의미</t>
    </r>
  </si>
  <si>
    <t>⬜ 시작 전</t>
  </si>
  <si>
    <t>아직 착수하지 않은 작업</t>
  </si>
  <si>
    <t>🟢 진행 중</t>
  </si>
  <si>
    <t>정상 진행 중, 일정 내 완료 예상</t>
  </si>
  <si>
    <t>🟡 주의</t>
  </si>
  <si>
    <t>지연 가능성 있음, 다음 스크럼 때 점검 필요</t>
  </si>
  <si>
    <t>🔴 지연</t>
  </si>
  <si>
    <t>일정 초과 또는 차단(blocked) 상태, 즉시 조치 필요</t>
  </si>
  <si>
    <t>🔵 완료</t>
  </si>
  <si>
    <t>작업 완료. PR도 머지된 상태.</t>
  </si>
  <si>
    <r>
      <rPr>
        <b/>
        <sz val="14"/>
        <color rgb="FF1F4E79"/>
        <rFont val="맑은 고딕"/>
        <family val="3"/>
        <charset val="129"/>
      </rPr>
      <t xml:space="preserve">5️⃣ WBS </t>
    </r>
    <r>
      <rPr>
        <b/>
        <sz val="14"/>
        <color rgb="FF1F4E79"/>
        <rFont val="Noto Sans CJK SC"/>
        <family val="2"/>
      </rPr>
      <t xml:space="preserve">작성 팁 </t>
    </r>
    <r>
      <rPr>
        <b/>
        <sz val="14"/>
        <color rgb="FF1F4E79"/>
        <rFont val="맑은 고딕"/>
        <family val="3"/>
        <charset val="129"/>
      </rPr>
      <t>(</t>
    </r>
    <r>
      <rPr>
        <b/>
        <sz val="14"/>
        <color rgb="FF1F4E79"/>
        <rFont val="Noto Sans CJK SC"/>
        <family val="2"/>
      </rPr>
      <t>망하지 않는 노하우</t>
    </r>
    <r>
      <rPr>
        <b/>
        <sz val="14"/>
        <color rgb="FF1F4E79"/>
        <rFont val="맑은 고딕"/>
        <family val="3"/>
        <charset val="129"/>
      </rPr>
      <t>)</t>
    </r>
  </si>
  <si>
    <t>✅ DO</t>
  </si>
  <si>
    <r>
      <rPr>
        <sz val="10"/>
        <color rgb="FF000000"/>
        <rFont val="맑은 고딕"/>
        <family val="3"/>
        <charset val="129"/>
      </rPr>
      <t>Phase</t>
    </r>
    <r>
      <rPr>
        <sz val="10"/>
        <color rgb="FF000000"/>
        <rFont val="Noto Sans CJK SC"/>
        <family val="2"/>
      </rPr>
      <t xml:space="preserve">별로 묶기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 xml:space="preserve">: 1.0 </t>
    </r>
    <r>
      <rPr>
        <sz val="10"/>
        <color rgb="FF000000"/>
        <rFont val="Noto Sans CJK SC"/>
        <family val="2"/>
      </rPr>
      <t>기획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설계 </t>
    </r>
    <r>
      <rPr>
        <sz val="10"/>
        <color rgb="FF000000"/>
        <rFont val="맑은 고딕"/>
        <family val="3"/>
        <charset val="129"/>
      </rPr>
      <t xml:space="preserve">/ 2.0 </t>
    </r>
    <r>
      <rPr>
        <sz val="10"/>
        <color rgb="FF000000"/>
        <rFont val="Noto Sans CJK SC"/>
        <family val="2"/>
      </rPr>
      <t xml:space="preserve">백엔드 </t>
    </r>
    <r>
      <rPr>
        <sz val="10"/>
        <color rgb="FF000000"/>
        <rFont val="맑은 고딕"/>
        <family val="3"/>
        <charset val="129"/>
      </rPr>
      <t xml:space="preserve">/ 3.0 </t>
    </r>
    <r>
      <rPr>
        <sz val="10"/>
        <color rgb="FF000000"/>
        <rFont val="Noto Sans CJK SC"/>
        <family val="2"/>
      </rPr>
      <t xml:space="preserve">프론트엔드 </t>
    </r>
    <r>
      <rPr>
        <sz val="10"/>
        <color rgb="FF000000"/>
        <rFont val="맑은 고딕"/>
        <family val="3"/>
        <charset val="129"/>
      </rPr>
      <t xml:space="preserve">/ 4.0 </t>
    </r>
    <r>
      <rPr>
        <sz val="10"/>
        <color rgb="FF000000"/>
        <rFont val="Noto Sans CJK SC"/>
        <family val="2"/>
      </rPr>
      <t xml:space="preserve">통합 </t>
    </r>
    <r>
      <rPr>
        <sz val="10"/>
        <color rgb="FF000000"/>
        <rFont val="맑은 고딕"/>
        <family val="3"/>
        <charset val="129"/>
      </rPr>
      <t xml:space="preserve">/ 5.0 </t>
    </r>
    <r>
      <rPr>
        <sz val="10"/>
        <color rgb="FF000000"/>
        <rFont val="Noto Sans CJK SC"/>
        <family val="2"/>
      </rPr>
      <t>발표</t>
    </r>
    <r>
      <rPr>
        <sz val="10"/>
        <color rgb="FF000000"/>
        <rFont val="맑은 고딕"/>
        <family val="3"/>
        <charset val="129"/>
      </rPr>
      <t>)</t>
    </r>
  </si>
  <si>
    <t>한 작업은 최대 1~2일 이하로 쪼개기. 3일 넘어가면 더 작게 나누세요.</t>
  </si>
  <si>
    <t>동사형으로 적기. 예: '로그인 API 구현', '메인 페이지 마크업'</t>
  </si>
  <si>
    <t>❌ DON'T</t>
  </si>
  <si>
    <t>너무 추상적: '백엔드 작업', '프론트 작업' (이런 건 진행률 측정 불가)</t>
  </si>
  <si>
    <t>너무 세분화: 'def login() 함수 작성' (관리 비용만 증가)</t>
  </si>
  <si>
    <t>한 사람이 여러 작업을 같은 시간대에 동시 시작 (병목 발생)</t>
  </si>
  <si>
    <r>
      <rPr>
        <b/>
        <sz val="14"/>
        <color rgb="FF1F4E79"/>
        <rFont val="맑은 고딕"/>
        <family val="3"/>
        <charset val="129"/>
      </rPr>
      <t xml:space="preserve">6️⃣ </t>
    </r>
    <r>
      <rPr>
        <b/>
        <sz val="14"/>
        <color rgb="FF1F4E79"/>
        <rFont val="Noto Sans CJK SC"/>
        <family val="2"/>
      </rPr>
      <t>운영 노하우</t>
    </r>
  </si>
  <si>
    <t>📌</t>
  </si>
  <si>
    <t>매일 데일리 스크럼(15분) 때 이 시트를 띄워두고 '진행률'만 업데이트하세요.</t>
  </si>
  <si>
    <t>발표 D-2일에 freeze. 그 이후엔 새 작업 추가 금지. (오늘 강의에서 강조한 룰)</t>
  </si>
  <si>
    <r>
      <rPr>
        <sz val="10"/>
        <color rgb="FF000000"/>
        <rFont val="맑은 고딕"/>
        <family val="3"/>
        <charset val="129"/>
      </rPr>
      <t>Won't have</t>
    </r>
    <r>
      <rPr>
        <sz val="10"/>
        <color rgb="FF000000"/>
        <rFont val="Noto Sans CJK SC"/>
        <family val="2"/>
      </rPr>
      <t>로 분류한 작업도 별도 메모로 남기세요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발표 시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추후 계획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으로 활용 가능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</si>
  <si>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주의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노랑</t>
    </r>
    <r>
      <rPr>
        <sz val="10"/>
        <color rgb="FF000000"/>
        <rFont val="맑은 고딕"/>
        <family val="3"/>
        <charset val="129"/>
      </rPr>
      <t>)'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 xml:space="preserve">일 연속 지속되면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지연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빨강</t>
    </r>
    <r>
      <rPr>
        <sz val="10"/>
        <color rgb="FF000000"/>
        <rFont val="맑은 고딕"/>
        <family val="3"/>
        <charset val="129"/>
      </rPr>
      <t>)'</t>
    </r>
    <r>
      <rPr>
        <sz val="10"/>
        <color rgb="FF000000"/>
        <rFont val="Noto Sans CJK SC"/>
        <family val="2"/>
      </rPr>
      <t>으로 올리고 팀에 공유하세요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</si>
  <si>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 xml:space="preserve">'🔵 </t>
    </r>
    <r>
      <rPr>
        <sz val="10"/>
        <color rgb="FF000000"/>
        <rFont val="Noto Sans CJK SC"/>
        <family val="2"/>
      </rPr>
      <t xml:space="preserve">샘플 </t>
    </r>
    <r>
      <rPr>
        <sz val="10"/>
        <color rgb="FF000000"/>
        <rFont val="맑은 고딕"/>
        <family val="3"/>
        <charset val="129"/>
      </rPr>
      <t xml:space="preserve">(AI </t>
    </r>
    <r>
      <rPr>
        <sz val="10"/>
        <color rgb="FF000000"/>
        <rFont val="Noto Sans CJK SC"/>
        <family val="2"/>
      </rPr>
      <t>자소서 코칭</t>
    </r>
    <r>
      <rPr>
        <sz val="10"/>
        <color rgb="FF000000"/>
        <rFont val="맑은 고딕"/>
        <family val="3"/>
        <charset val="129"/>
      </rPr>
      <t xml:space="preserve">)' </t>
    </r>
    <r>
      <rPr>
        <sz val="10"/>
        <color rgb="FF000000"/>
        <rFont val="Noto Sans CJK SC"/>
        <family val="2"/>
      </rPr>
      <t>시트를 먼저 보고 어떻게 채우는지 감을 잡으세요</t>
    </r>
    <r>
      <rPr>
        <sz val="10"/>
        <color rgb="FF000000"/>
        <rFont val="맑은 고딕"/>
        <family val="3"/>
        <charset val="129"/>
      </rPr>
      <t>.</t>
    </r>
  </si>
  <si>
    <t>💡</t>
  </si>
  <si>
    <t>간트 차트는 '그리는 게 목적'이 아닙니다. '팀이 같은 그림을 보는 게' 목적입니다.
완벽하게 못 채워도 괜찮습니다. 매일 5분만 업데이트해도 7일이 살아납니다.</t>
  </si>
  <si>
    <t>🗓️  관통PJT 간트 차트  —  주만주 (Jumanchu)</t>
  </si>
  <si>
    <t>팀  명</t>
  </si>
  <si>
    <r>
      <rPr>
        <b/>
        <sz val="11"/>
        <rFont val="맑은 고딕"/>
        <family val="3"/>
        <charset val="129"/>
      </rPr>
      <t xml:space="preserve">SSAFY </t>
    </r>
    <r>
      <rPr>
        <b/>
        <sz val="11"/>
        <rFont val="Noto Sans CJK SC"/>
        <family val="2"/>
      </rPr>
      <t xml:space="preserve">자율 </t>
    </r>
    <r>
      <rPr>
        <b/>
        <sz val="11"/>
        <rFont val="맑은 고딕"/>
        <family val="3"/>
        <charset val="129"/>
      </rPr>
      <t xml:space="preserve">PJT </t>
    </r>
    <r>
      <rPr>
        <b/>
        <sz val="11"/>
        <rFont val="Noto Sans CJK SC"/>
        <family val="2"/>
      </rPr>
      <t>팀</t>
    </r>
  </si>
  <si>
    <t>담당 PM</t>
  </si>
  <si>
    <t>김지훈</t>
  </si>
  <si>
    <t>프로젝트 명</t>
  </si>
  <si>
    <t>주만주 (Jumanchu) - 주린이를 위한 주식투자 서비스</t>
  </si>
  <si>
    <t>작성일</t>
  </si>
  <si>
    <r>
      <rPr>
        <b/>
        <sz val="10"/>
        <color rgb="FF595959"/>
        <rFont val="맑은 고딕"/>
        <family val="3"/>
        <charset val="129"/>
      </rPr>
      <t xml:space="preserve">PJT </t>
    </r>
    <r>
      <rPr>
        <b/>
        <sz val="10"/>
        <color rgb="FF595959"/>
        <rFont val="Noto Sans CJK SC"/>
        <family val="2"/>
      </rPr>
      <t>시작일</t>
    </r>
  </si>
  <si>
    <r>
      <rPr>
        <b/>
        <sz val="10"/>
        <color rgb="FF595959"/>
        <rFont val="맑은 고딕"/>
        <family val="3"/>
        <charset val="129"/>
      </rPr>
      <t xml:space="preserve">PJT </t>
    </r>
    <r>
      <rPr>
        <b/>
        <sz val="10"/>
        <color rgb="FF595959"/>
        <rFont val="Noto Sans CJK SC"/>
        <family val="2"/>
      </rPr>
      <t>종료일</t>
    </r>
  </si>
  <si>
    <t>오늘</t>
  </si>
  <si>
    <t>작업 정보</t>
  </si>
  <si>
    <t>Week 1</t>
  </si>
  <si>
    <t>Week 2</t>
  </si>
  <si>
    <t>Week 3</t>
  </si>
  <si>
    <t>Week 4</t>
  </si>
  <si>
    <t>Week 5</t>
  </si>
  <si>
    <r>
      <rPr>
        <b/>
        <sz val="10"/>
        <color rgb="FF1F4E79"/>
        <rFont val="맑은 고딕"/>
        <family val="3"/>
        <charset val="129"/>
      </rPr>
      <t>Week 6 (</t>
    </r>
    <r>
      <rPr>
        <b/>
        <sz val="10"/>
        <color rgb="FF1F4E79"/>
        <rFont val="Noto Sans CJK SC"/>
        <family val="2"/>
      </rPr>
      <t>마감</t>
    </r>
    <r>
      <rPr>
        <b/>
        <sz val="10"/>
        <color rgb="FF1F4E79"/>
        <rFont val="맑은 고딕"/>
        <family val="3"/>
        <charset val="129"/>
      </rPr>
      <t>)</t>
    </r>
  </si>
  <si>
    <r>
      <rPr>
        <b/>
        <sz val="10"/>
        <color rgb="FF1F4E79"/>
        <rFont val="맑은 고딕"/>
        <family val="3"/>
        <charset val="129"/>
      </rPr>
      <t>Week 7 (</t>
    </r>
    <r>
      <rPr>
        <b/>
        <sz val="10"/>
        <color rgb="FF1F4E79"/>
        <rFont val="Noto Sans CJK SC"/>
        <family val="2"/>
      </rPr>
      <t>발표</t>
    </r>
    <r>
      <rPr>
        <b/>
        <sz val="10"/>
        <color rgb="FF1F4E79"/>
        <rFont val="맑은 고딕"/>
        <family val="3"/>
        <charset val="129"/>
      </rPr>
      <t>)</t>
    </r>
  </si>
  <si>
    <r>
      <rPr>
        <b/>
        <sz val="11"/>
        <color rgb="FFFFFFFF"/>
        <rFont val="맑은 고딕"/>
        <family val="3"/>
        <charset val="129"/>
      </rPr>
      <t xml:space="preserve">WBS
</t>
    </r>
    <r>
      <rPr>
        <b/>
        <sz val="11"/>
        <color rgb="FFFFFFFF"/>
        <rFont val="Noto Sans CJK SC"/>
        <family val="2"/>
      </rPr>
      <t>번호</t>
    </r>
  </si>
  <si>
    <t>시작일</t>
  </si>
  <si>
    <t>종료일</t>
  </si>
  <si>
    <t>기간
(일)</t>
  </si>
  <si>
    <t>날짜 →</t>
  </si>
  <si>
    <t>1.0</t>
  </si>
  <si>
    <r>
      <rPr>
        <b/>
        <sz val="11"/>
        <color rgb="FF1F4E79"/>
        <rFont val="맑은 고딕"/>
        <family val="3"/>
        <charset val="129"/>
      </rPr>
      <t xml:space="preserve">🟦 Phase 1. </t>
    </r>
    <r>
      <rPr>
        <b/>
        <sz val="11"/>
        <color rgb="FF1F4E79"/>
        <rFont val="Noto Sans CJK SC"/>
        <family val="2"/>
      </rPr>
      <t>기획</t>
    </r>
    <r>
      <rPr>
        <b/>
        <sz val="11"/>
        <color rgb="FF1F4E79"/>
        <rFont val="맑은 고딕"/>
        <family val="3"/>
        <charset val="129"/>
      </rPr>
      <t>·</t>
    </r>
    <r>
      <rPr>
        <b/>
        <sz val="11"/>
        <color rgb="FF1F4E79"/>
        <rFont val="Noto Sans CJK SC"/>
        <family val="2"/>
      </rPr>
      <t>설계</t>
    </r>
  </si>
  <si>
    <t>1.1</t>
  </si>
  <si>
    <t>문제 정의 / 사용자 스토리 / 페르소나 작성</t>
  </si>
  <si>
    <t>강재민</t>
  </si>
  <si>
    <t>시작 전</t>
  </si>
  <si>
    <t>1.2</t>
  </si>
  <si>
    <r>
      <rPr>
        <sz val="10"/>
        <rFont val="맑은 고딕"/>
        <family val="3"/>
        <charset val="129"/>
      </rPr>
      <t xml:space="preserve">ERD </t>
    </r>
    <r>
      <rPr>
        <sz val="10"/>
        <rFont val="Noto Sans CJK SC"/>
        <family val="2"/>
      </rPr>
      <t xml:space="preserve">설계 </t>
    </r>
    <r>
      <rPr>
        <sz val="10"/>
        <rFont val="맑은 고딕"/>
        <family val="3"/>
        <charset val="129"/>
      </rPr>
      <t xml:space="preserve">/ DB </t>
    </r>
    <r>
      <rPr>
        <sz val="10"/>
        <rFont val="Noto Sans CJK SC"/>
        <family val="2"/>
      </rPr>
      <t>스키마 정의</t>
    </r>
  </si>
  <si>
    <t>1.3</t>
  </si>
  <si>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명세서 작성 </t>
    </r>
    <r>
      <rPr>
        <sz val="10"/>
        <rFont val="맑은 고딕"/>
        <family val="3"/>
        <charset val="129"/>
      </rPr>
      <t>(Swagger)</t>
    </r>
  </si>
  <si>
    <t>1.4</t>
  </si>
  <si>
    <t>와이어프레임 / 디자인 시스템</t>
  </si>
  <si>
    <t>송호영</t>
  </si>
  <si>
    <t>2.0</t>
  </si>
  <si>
    <r>
      <rPr>
        <b/>
        <sz val="11"/>
        <color rgb="FF1F4E79"/>
        <rFont val="맑은 고딕"/>
        <family val="3"/>
        <charset val="129"/>
      </rPr>
      <t xml:space="preserve">🟩 Phase 2. </t>
    </r>
    <r>
      <rPr>
        <b/>
        <sz val="11"/>
        <color rgb="FF1F4E79"/>
        <rFont val="Noto Sans CJK SC"/>
        <family val="2"/>
      </rPr>
      <t>백엔드 개발</t>
    </r>
  </si>
  <si>
    <t>2.1</t>
  </si>
  <si>
    <r>
      <rPr>
        <sz val="10"/>
        <rFont val="맑은 고딕"/>
        <family val="3"/>
        <charset val="129"/>
      </rPr>
      <t xml:space="preserve">Django </t>
    </r>
    <r>
      <rPr>
        <sz val="10"/>
        <rFont val="Noto Sans CJK SC"/>
        <family val="2"/>
      </rPr>
      <t xml:space="preserve">초기 세팅 </t>
    </r>
    <r>
      <rPr>
        <sz val="10"/>
        <rFont val="맑은 고딕"/>
        <family val="3"/>
        <charset val="129"/>
      </rPr>
      <t xml:space="preserve">+ User </t>
    </r>
    <r>
      <rPr>
        <sz val="10"/>
        <rFont val="Noto Sans CJK SC"/>
        <family val="2"/>
      </rPr>
      <t xml:space="preserve">모델 </t>
    </r>
    <r>
      <rPr>
        <sz val="10"/>
        <rFont val="맑은 고딕"/>
        <family val="3"/>
        <charset val="129"/>
      </rPr>
      <t xml:space="preserve">/ JWT </t>
    </r>
    <r>
      <rPr>
        <sz val="10"/>
        <rFont val="Noto Sans CJK SC"/>
        <family val="2"/>
      </rPr>
      <t xml:space="preserve">인증 </t>
    </r>
    <r>
      <rPr>
        <sz val="10"/>
        <rFont val="맑은 고딕"/>
        <family val="3"/>
        <charset val="129"/>
      </rPr>
      <t>API</t>
    </r>
  </si>
  <si>
    <t>2.2</t>
  </si>
  <si>
    <t>주식 종목 조회 API (KIS Developers + DART 연동)</t>
  </si>
  <si>
    <t>2.1,1.3</t>
  </si>
  <si>
    <t>2.3</t>
  </si>
  <si>
    <t>종목 추천 로직 (스와이프 + 뉴스 키워드 + LLM 분석)</t>
  </si>
  <si>
    <t>2.4</t>
  </si>
  <si>
    <t>커뮤니티 / 일기장 CRUD + 검색 API</t>
  </si>
  <si>
    <t>3.0</t>
  </si>
  <si>
    <r>
      <rPr>
        <b/>
        <sz val="11"/>
        <color rgb="FF1F4E79"/>
        <rFont val="맑은 고딕"/>
        <family val="3"/>
        <charset val="129"/>
      </rPr>
      <t xml:space="preserve">🟧 Phase 3. </t>
    </r>
    <r>
      <rPr>
        <b/>
        <sz val="11"/>
        <color rgb="FF1F4E79"/>
        <rFont val="Noto Sans CJK SC"/>
        <family val="2"/>
      </rPr>
      <t>프론트엔드 개발</t>
    </r>
  </si>
  <si>
    <t>3.1</t>
  </si>
  <si>
    <r>
      <rPr>
        <sz val="10"/>
        <rFont val="맑은 고딕"/>
        <family val="3"/>
        <charset val="129"/>
      </rPr>
      <t xml:space="preserve">Vue </t>
    </r>
    <r>
      <rPr>
        <sz val="10"/>
        <rFont val="Noto Sans CJK SC"/>
        <family val="2"/>
      </rPr>
      <t xml:space="preserve">프로젝트 세팅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로그인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회원가입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홈 페이지</t>
    </r>
  </si>
  <si>
    <t>3.2</t>
  </si>
  <si>
    <t>종목 목록 / 검색 / 상세 페이지 (재무지표 시각화)</t>
  </si>
  <si>
    <t>3.1,2.2</t>
  </si>
  <si>
    <t>3.3</t>
  </si>
  <si>
    <t>종목 추천 스와이프 카드 UI 구현</t>
  </si>
  <si>
    <t>3.1,2.3</t>
  </si>
  <si>
    <t>3.4</t>
  </si>
  <si>
    <t>커뮤니티 / 일기장 / 프로필 페이지</t>
  </si>
  <si>
    <t>3.1,2.4</t>
  </si>
  <si>
    <t>4.0</t>
  </si>
  <si>
    <r>
      <rPr>
        <b/>
        <sz val="11"/>
        <color rgb="FF1F4E79"/>
        <rFont val="맑은 고딕"/>
        <family val="3"/>
        <charset val="129"/>
      </rPr>
      <t xml:space="preserve">🟪 Phase 4. </t>
    </r>
    <r>
      <rPr>
        <b/>
        <sz val="11"/>
        <color rgb="FF1F4E79"/>
        <rFont val="Noto Sans CJK SC"/>
        <family val="2"/>
      </rPr>
      <t>통합</t>
    </r>
    <r>
      <rPr>
        <b/>
        <sz val="11"/>
        <color rgb="FF1F4E79"/>
        <rFont val="맑은 고딕"/>
        <family val="3"/>
        <charset val="129"/>
      </rPr>
      <t>·</t>
    </r>
    <r>
      <rPr>
        <b/>
        <sz val="11"/>
        <color rgb="FF1F4E79"/>
        <rFont val="Noto Sans CJK SC"/>
        <family val="2"/>
      </rPr>
      <t>테스트</t>
    </r>
  </si>
  <si>
    <t>4.1</t>
  </si>
  <si>
    <r>
      <rPr>
        <sz val="10"/>
        <rFont val="맑은 고딕"/>
        <family val="3"/>
        <charset val="129"/>
      </rPr>
      <t xml:space="preserve">Frontend ↔ Backend </t>
    </r>
    <r>
      <rPr>
        <sz val="10"/>
        <rFont val="Noto Sans CJK SC"/>
        <family val="2"/>
      </rPr>
      <t xml:space="preserve">통합 </t>
    </r>
    <r>
      <rPr>
        <sz val="10"/>
        <rFont val="맑은 고딕"/>
        <family val="3"/>
        <charset val="129"/>
      </rPr>
      <t xml:space="preserve">/ API </t>
    </r>
    <r>
      <rPr>
        <sz val="10"/>
        <rFont val="Noto Sans CJK SC"/>
        <family val="2"/>
      </rPr>
      <t>연동</t>
    </r>
  </si>
  <si>
    <t>2.4,3.4</t>
  </si>
  <si>
    <t>4.2</t>
  </si>
  <si>
    <t>시나리오 통합 테스트 / 데모 시나리오 작성</t>
  </si>
  <si>
    <t>4.3</t>
  </si>
  <si>
    <t>버그 픽스 / 리팩토링 / 성능 개선</t>
  </si>
  <si>
    <t>5.0</t>
  </si>
  <si>
    <r>
      <rPr>
        <b/>
        <sz val="11"/>
        <color rgb="FF1F4E79"/>
        <rFont val="맑은 고딕"/>
        <family val="3"/>
        <charset val="129"/>
      </rPr>
      <t xml:space="preserve">🟥 Phase 5. </t>
    </r>
    <r>
      <rPr>
        <b/>
        <sz val="11"/>
        <color rgb="FF1F4E79"/>
        <rFont val="Noto Sans CJK SC"/>
        <family val="2"/>
      </rPr>
      <t>발표 준비</t>
    </r>
  </si>
  <si>
    <t>5.1</t>
  </si>
  <si>
    <t>발표 자료 작성 / 시연 영상 제작</t>
  </si>
  <si>
    <t>5.2</t>
  </si>
  <si>
    <t>발표 리허설 / 시연 시나리오 점검</t>
  </si>
  <si>
    <t>5.3</t>
  </si>
  <si>
    <t>최종 발표 (D-Day)</t>
  </si>
  <si>
    <t>📌 범례</t>
  </si>
  <si>
    <t>진행 중</t>
  </si>
  <si>
    <t>주의</t>
  </si>
  <si>
    <t>지연 가능성 있음, 점검 필요</t>
  </si>
  <si>
    <t>지연</t>
  </si>
  <si>
    <t>일정 초과 또는 차단 상태, 즉시 조치</t>
  </si>
  <si>
    <t>완료</t>
  </si>
  <si>
    <t>작업 완료, PR 머지 완료</t>
  </si>
  <si>
    <t>📋 주만주(Jumanchu) WBS 분해도</t>
  </si>
  <si>
    <r>
      <rPr>
        <i/>
        <sz val="11"/>
        <color rgb="FF5B6770"/>
        <rFont val="맑은 고딕"/>
        <family val="3"/>
        <charset val="129"/>
      </rPr>
      <t>Work Breakdown Structure  —  Phase → Story → Task 3</t>
    </r>
    <r>
      <rPr>
        <i/>
        <sz val="11"/>
        <color rgb="FF5B6770"/>
        <rFont val="Noto Sans CJK SC"/>
        <family val="2"/>
      </rPr>
      <t>계층 분해</t>
    </r>
  </si>
  <si>
    <r>
      <rPr>
        <b/>
        <sz val="11"/>
        <color rgb="FFFFFFFF"/>
        <rFont val="맑은 고딕"/>
        <family val="3"/>
        <charset val="129"/>
      </rPr>
      <t xml:space="preserve">WBS </t>
    </r>
    <r>
      <rPr>
        <b/>
        <sz val="11"/>
        <color rgb="FFFFFFFF"/>
        <rFont val="Noto Sans CJK SC"/>
        <family val="2"/>
      </rPr>
      <t>번호</t>
    </r>
  </si>
  <si>
    <t>작업명</t>
  </si>
  <si>
    <t>산출물 (Deliverable)</t>
  </si>
  <si>
    <t>예상 시간</t>
  </si>
  <si>
    <r>
      <rPr>
        <b/>
        <sz val="12"/>
        <color rgb="FF1F4E79"/>
        <rFont val="맑은 고딕"/>
        <family val="3"/>
        <charset val="129"/>
      </rPr>
      <t xml:space="preserve">🟦 Phase 1. </t>
    </r>
    <r>
      <rPr>
        <b/>
        <sz val="12"/>
        <color rgb="FF1F4E79"/>
        <rFont val="Noto Sans CJK SC"/>
        <family val="2"/>
      </rPr>
      <t>기획</t>
    </r>
    <r>
      <rPr>
        <b/>
        <sz val="12"/>
        <color rgb="FF1F4E79"/>
        <rFont val="맑은 고딕"/>
        <family val="3"/>
        <charset val="129"/>
      </rPr>
      <t>·</t>
    </r>
    <r>
      <rPr>
        <b/>
        <sz val="12"/>
        <color rgb="FF1F4E79"/>
        <rFont val="Noto Sans CJK SC"/>
        <family val="2"/>
      </rPr>
      <t>설계</t>
    </r>
  </si>
  <si>
    <t>기획 산출물 일체</t>
  </si>
  <si>
    <t xml:space="preserve">   ▸ 문제 정의 / 사용자 스토리</t>
  </si>
  <si>
    <t>기획서 v1.0</t>
  </si>
  <si>
    <t>1.1.1</t>
  </si>
  <si>
    <t xml:space="preserve">      • 시장 조사 / 경쟁 서비스 분석</t>
  </si>
  <si>
    <t>경쟁사 분석 리포트</t>
  </si>
  <si>
    <t>6h</t>
  </si>
  <si>
    <t>1.1.2</t>
  </si>
  <si>
    <t xml:space="preserve">      • 페르소나 정의 (주린이 타겟)</t>
  </si>
  <si>
    <t>페르소나 카드 3종</t>
  </si>
  <si>
    <t>4h</t>
  </si>
  <si>
    <t>1.1.3</t>
  </si>
  <si>
    <t xml:space="preserve">      • 사용자 스토리 작성 (User Story)</t>
  </si>
  <si>
    <r>
      <rPr>
        <sz val="10"/>
        <color rgb="FF333333"/>
        <rFont val="맑은 고딕"/>
        <family val="3"/>
        <charset val="129"/>
      </rPr>
      <t xml:space="preserve">US </t>
    </r>
    <r>
      <rPr>
        <sz val="10"/>
        <color rgb="FF333333"/>
        <rFont val="Noto Sans CJK SC"/>
        <family val="2"/>
      </rPr>
      <t>백로그</t>
    </r>
  </si>
  <si>
    <t>1.1.4</t>
  </si>
  <si>
    <t xml:space="preserve">      • 핵심 기능 우선순위 (MoSCoW)</t>
  </si>
  <si>
    <t>기능 명세서</t>
  </si>
  <si>
    <t>3h</t>
  </si>
  <si>
    <r>
      <rPr>
        <b/>
        <sz val="11"/>
        <color rgb="FF2E5C8A"/>
        <rFont val="맑은 고딕"/>
        <family val="3"/>
        <charset val="129"/>
      </rPr>
      <t xml:space="preserve">   ▸ ERD / DB </t>
    </r>
    <r>
      <rPr>
        <b/>
        <sz val="11"/>
        <color rgb="FF2E5C8A"/>
        <rFont val="Noto Sans CJK SC"/>
        <family val="2"/>
      </rPr>
      <t>스키마 설계</t>
    </r>
  </si>
  <si>
    <t>ERD v1.0</t>
  </si>
  <si>
    <t>1.2.1</t>
  </si>
  <si>
    <t xml:space="preserve">      • 도메인 모델링 / 엔티티 도출</t>
  </si>
  <si>
    <t>도메인 모델 다이어그램</t>
  </si>
  <si>
    <t>1.2.2</t>
  </si>
  <si>
    <t xml:space="preserve">      • 엔티티 간 관계 정의 (1:N, M:N)</t>
  </si>
  <si>
    <r>
      <rPr>
        <sz val="10"/>
        <color rgb="FF333333"/>
        <rFont val="맑은 고딕"/>
        <family val="3"/>
        <charset val="129"/>
      </rPr>
      <t xml:space="preserve">ERD </t>
    </r>
    <r>
      <rPr>
        <sz val="10"/>
        <color rgb="FF333333"/>
        <rFont val="Noto Sans CJK SC"/>
        <family val="2"/>
      </rPr>
      <t>초안</t>
    </r>
  </si>
  <si>
    <t>1.2.3</t>
  </si>
  <si>
    <t xml:space="preserve">      • 정규화 / 인덱스 설계</t>
  </si>
  <si>
    <t>인덱스 명세</t>
  </si>
  <si>
    <t>1.2.4</t>
  </si>
  <si>
    <r>
      <rPr>
        <sz val="10"/>
        <color rgb="FF333333"/>
        <rFont val="맑은 고딕"/>
        <family val="3"/>
        <charset val="129"/>
      </rPr>
      <t xml:space="preserve">      • ERD </t>
    </r>
    <r>
      <rPr>
        <sz val="10"/>
        <color rgb="FF333333"/>
        <rFont val="Noto Sans CJK SC"/>
        <family val="2"/>
      </rPr>
      <t xml:space="preserve">다이어그램 최종화 </t>
    </r>
    <r>
      <rPr>
        <sz val="10"/>
        <color rgb="FF333333"/>
        <rFont val="맑은 고딕"/>
        <family val="3"/>
        <charset val="129"/>
      </rPr>
      <t>(dbdiagram.io)</t>
    </r>
  </si>
  <si>
    <r>
      <rPr>
        <sz val="10"/>
        <color rgb="FF333333"/>
        <rFont val="맑은 고딕"/>
        <family val="3"/>
        <charset val="129"/>
      </rPr>
      <t xml:space="preserve">ERD </t>
    </r>
    <r>
      <rPr>
        <sz val="10"/>
        <color rgb="FF333333"/>
        <rFont val="Noto Sans CJK SC"/>
        <family val="2"/>
      </rPr>
      <t>최종본</t>
    </r>
  </si>
  <si>
    <r>
      <rPr>
        <b/>
        <sz val="11"/>
        <color rgb="FF2E5C8A"/>
        <rFont val="맑은 고딕"/>
        <family val="3"/>
        <charset val="129"/>
      </rPr>
      <t xml:space="preserve">   ▸ API </t>
    </r>
    <r>
      <rPr>
        <b/>
        <sz val="11"/>
        <color rgb="FF2E5C8A"/>
        <rFont val="Noto Sans CJK SC"/>
        <family val="2"/>
      </rPr>
      <t>명세서 작성</t>
    </r>
  </si>
  <si>
    <r>
      <rPr>
        <b/>
        <sz val="11"/>
        <color rgb="FF2E5C8A"/>
        <rFont val="맑은 고딕"/>
        <family val="3"/>
        <charset val="129"/>
      </rPr>
      <t xml:space="preserve">Swagger </t>
    </r>
    <r>
      <rPr>
        <b/>
        <sz val="11"/>
        <color rgb="FF2E5C8A"/>
        <rFont val="Noto Sans CJK SC"/>
        <family val="2"/>
      </rPr>
      <t>문서</t>
    </r>
  </si>
  <si>
    <t>1.3.1</t>
  </si>
  <si>
    <r>
      <rPr>
        <sz val="10"/>
        <color rgb="FF333333"/>
        <rFont val="맑은 고딕"/>
        <family val="3"/>
        <charset val="129"/>
      </rPr>
      <t xml:space="preserve">      • RESTful </t>
    </r>
    <r>
      <rPr>
        <sz val="10"/>
        <color rgb="FF333333"/>
        <rFont val="Noto Sans CJK SC"/>
        <family val="2"/>
      </rPr>
      <t>엔드포인트 정의</t>
    </r>
  </si>
  <si>
    <r>
      <rPr>
        <sz val="10"/>
        <color rgb="FF333333"/>
        <rFont val="맑은 고딕"/>
        <family val="3"/>
        <charset val="129"/>
      </rPr>
      <t xml:space="preserve">API </t>
    </r>
    <r>
      <rPr>
        <sz val="10"/>
        <color rgb="FF333333"/>
        <rFont val="Noto Sans CJK SC"/>
        <family val="2"/>
      </rPr>
      <t>리스트</t>
    </r>
  </si>
  <si>
    <t>1.3.2</t>
  </si>
  <si>
    <r>
      <rPr>
        <sz val="10"/>
        <color rgb="FF333333"/>
        <rFont val="맑은 고딕"/>
        <family val="3"/>
        <charset val="129"/>
      </rPr>
      <t xml:space="preserve">      • Request / Response </t>
    </r>
    <r>
      <rPr>
        <sz val="10"/>
        <color rgb="FF333333"/>
        <rFont val="Noto Sans CJK SC"/>
        <family val="2"/>
      </rPr>
      <t>스키마 정의</t>
    </r>
  </si>
  <si>
    <t>스키마 명세</t>
  </si>
  <si>
    <t>1.3.3</t>
  </si>
  <si>
    <t xml:space="preserve">      • 인증 / 권한 정책 정의</t>
  </si>
  <si>
    <t>인증 정책서</t>
  </si>
  <si>
    <t>1.3.4</t>
  </si>
  <si>
    <r>
      <rPr>
        <sz val="10"/>
        <color rgb="FF333333"/>
        <rFont val="맑은 고딕"/>
        <family val="3"/>
        <charset val="129"/>
      </rPr>
      <t xml:space="preserve">      • Swagger / Postman </t>
    </r>
    <r>
      <rPr>
        <sz val="10"/>
        <color rgb="FF333333"/>
        <rFont val="Noto Sans CJK SC"/>
        <family val="2"/>
      </rPr>
      <t>문서화</t>
    </r>
  </si>
  <si>
    <t>Swagger v1.0</t>
  </si>
  <si>
    <t xml:space="preserve">   ▸ 와이어프레임 / 화면 설계</t>
  </si>
  <si>
    <r>
      <rPr>
        <b/>
        <sz val="11"/>
        <color rgb="FF2E5C8A"/>
        <rFont val="맑은 고딕"/>
        <family val="3"/>
        <charset val="129"/>
      </rPr>
      <t xml:space="preserve">Figma </t>
    </r>
    <r>
      <rPr>
        <b/>
        <sz val="11"/>
        <color rgb="FF2E5C8A"/>
        <rFont val="Noto Sans CJK SC"/>
        <family val="2"/>
      </rPr>
      <t>설계서</t>
    </r>
  </si>
  <si>
    <t>1.4.1</t>
  </si>
  <si>
    <t xml:space="preserve">      • 정보 구조(IA) / 사이트맵 설계</t>
  </si>
  <si>
    <t>사이트맵</t>
  </si>
  <si>
    <t>1.4.2</t>
  </si>
  <si>
    <t xml:space="preserve">      • 주요 화면 와이어프레임 (7종)</t>
  </si>
  <si>
    <t>와이어프레임</t>
  </si>
  <si>
    <t>9h</t>
  </si>
  <si>
    <t>1.4.3</t>
  </si>
  <si>
    <t xml:space="preserve">      • 화면 흐름도(User Flow)</t>
  </si>
  <si>
    <t>플로우 차트</t>
  </si>
  <si>
    <t>1.4.4</t>
  </si>
  <si>
    <t xml:space="preserve">      • 디자인 시스템 / 컴포넌트 정의</t>
  </si>
  <si>
    <t>UI Kit</t>
  </si>
  <si>
    <r>
      <rPr>
        <b/>
        <sz val="12"/>
        <color rgb="FF1F4E79"/>
        <rFont val="맑은 고딕"/>
        <family val="3"/>
        <charset val="129"/>
      </rPr>
      <t xml:space="preserve">🟩 Phase 2. </t>
    </r>
    <r>
      <rPr>
        <b/>
        <sz val="12"/>
        <color rgb="FF1F4E79"/>
        <rFont val="Noto Sans CJK SC"/>
        <family val="2"/>
      </rPr>
      <t>백엔드 개발</t>
    </r>
  </si>
  <si>
    <r>
      <rPr>
        <b/>
        <sz val="12"/>
        <color rgb="FF1F4E79"/>
        <rFont val="맑은 고딕"/>
        <family val="3"/>
        <charset val="129"/>
      </rPr>
      <t xml:space="preserve">API </t>
    </r>
    <r>
      <rPr>
        <b/>
        <sz val="12"/>
        <color rgb="FF1F4E79"/>
        <rFont val="Noto Sans CJK SC"/>
        <family val="2"/>
      </rPr>
      <t>서버</t>
    </r>
  </si>
  <si>
    <r>
      <rPr>
        <b/>
        <sz val="11"/>
        <color rgb="FF2E5C8A"/>
        <rFont val="맑은 고딕"/>
        <family val="3"/>
        <charset val="129"/>
      </rPr>
      <t xml:space="preserve">   ▸ Django </t>
    </r>
    <r>
      <rPr>
        <b/>
        <sz val="11"/>
        <color rgb="FF2E5C8A"/>
        <rFont val="Noto Sans CJK SC"/>
        <family val="2"/>
      </rPr>
      <t xml:space="preserve">세팅 </t>
    </r>
    <r>
      <rPr>
        <b/>
        <sz val="11"/>
        <color rgb="FF2E5C8A"/>
        <rFont val="맑은 고딕"/>
        <family val="3"/>
        <charset val="129"/>
      </rPr>
      <t xml:space="preserve">+ User </t>
    </r>
    <r>
      <rPr>
        <b/>
        <sz val="11"/>
        <color rgb="FF2E5C8A"/>
        <rFont val="Noto Sans CJK SC"/>
        <family val="2"/>
      </rPr>
      <t>인증</t>
    </r>
  </si>
  <si>
    <t>인증 API</t>
  </si>
  <si>
    <t>2.1.1</t>
  </si>
  <si>
    <r>
      <rPr>
        <sz val="10"/>
        <color rgb="FF333333"/>
        <rFont val="맑은 고딕"/>
        <family val="3"/>
        <charset val="129"/>
      </rPr>
      <t xml:space="preserve">      • Django </t>
    </r>
    <r>
      <rPr>
        <sz val="10"/>
        <color rgb="FF333333"/>
        <rFont val="Noto Sans CJK SC"/>
        <family val="2"/>
      </rPr>
      <t xml:space="preserve">프로젝트 </t>
    </r>
    <r>
      <rPr>
        <sz val="10"/>
        <color rgb="FF333333"/>
        <rFont val="맑은 고딕"/>
        <family val="3"/>
        <charset val="129"/>
      </rPr>
      <t xml:space="preserve">/ </t>
    </r>
    <r>
      <rPr>
        <sz val="10"/>
        <color rgb="FF333333"/>
        <rFont val="Noto Sans CJK SC"/>
        <family val="2"/>
      </rPr>
      <t xml:space="preserve">가상환경 </t>
    </r>
    <r>
      <rPr>
        <sz val="10"/>
        <color rgb="FF333333"/>
        <rFont val="맑은 고딕"/>
        <family val="3"/>
        <charset val="129"/>
      </rPr>
      <t xml:space="preserve">/ Git </t>
    </r>
    <r>
      <rPr>
        <sz val="10"/>
        <color rgb="FF333333"/>
        <rFont val="Noto Sans CJK SC"/>
        <family val="2"/>
      </rPr>
      <t>세팅</t>
    </r>
  </si>
  <si>
    <t>프로젝트 골격</t>
  </si>
  <si>
    <t>2.1.2</t>
  </si>
  <si>
    <r>
      <rPr>
        <sz val="10"/>
        <color rgb="FF333333"/>
        <rFont val="맑은 고딕"/>
        <family val="3"/>
        <charset val="129"/>
      </rPr>
      <t xml:space="preserve">      • PostgreSQL </t>
    </r>
    <r>
      <rPr>
        <sz val="10"/>
        <color rgb="FF333333"/>
        <rFont val="Noto Sans CJK SC"/>
        <family val="2"/>
      </rPr>
      <t xml:space="preserve">연결 </t>
    </r>
    <r>
      <rPr>
        <sz val="10"/>
        <color rgb="FF333333"/>
        <rFont val="맑은 고딕"/>
        <family val="3"/>
        <charset val="129"/>
      </rPr>
      <t xml:space="preserve">+ </t>
    </r>
    <r>
      <rPr>
        <sz val="10"/>
        <color rgb="FF333333"/>
        <rFont val="Noto Sans CJK SC"/>
        <family val="2"/>
      </rPr>
      <t>환경변수 분리</t>
    </r>
  </si>
  <si>
    <r>
      <rPr>
        <sz val="10"/>
        <color rgb="FF333333"/>
        <rFont val="맑은 고딕"/>
        <family val="3"/>
        <charset val="129"/>
      </rPr>
      <t xml:space="preserve">DB </t>
    </r>
    <r>
      <rPr>
        <sz val="10"/>
        <color rgb="FF333333"/>
        <rFont val="Noto Sans CJK SC"/>
        <family val="2"/>
      </rPr>
      <t>연동</t>
    </r>
  </si>
  <si>
    <t>2.1.3</t>
  </si>
  <si>
    <r>
      <rPr>
        <sz val="10"/>
        <color rgb="FF333333"/>
        <rFont val="맑은 고딕"/>
        <family val="3"/>
        <charset val="129"/>
      </rPr>
      <t xml:space="preserve">      • Custom User </t>
    </r>
    <r>
      <rPr>
        <sz val="10"/>
        <color rgb="FF333333"/>
        <rFont val="Noto Sans CJK SC"/>
        <family val="2"/>
      </rPr>
      <t xml:space="preserve">모델 </t>
    </r>
    <r>
      <rPr>
        <sz val="10"/>
        <color rgb="FF333333"/>
        <rFont val="맑은 고딕"/>
        <family val="3"/>
        <charset val="129"/>
      </rPr>
      <t xml:space="preserve">+ </t>
    </r>
    <r>
      <rPr>
        <sz val="10"/>
        <color rgb="FF333333"/>
        <rFont val="Noto Sans CJK SC"/>
        <family val="2"/>
      </rPr>
      <t xml:space="preserve">회원가입 </t>
    </r>
    <r>
      <rPr>
        <sz val="10"/>
        <color rgb="FF333333"/>
        <rFont val="맑은 고딕"/>
        <family val="3"/>
        <charset val="129"/>
      </rPr>
      <t>API</t>
    </r>
  </si>
  <si>
    <t>회원가입 API</t>
  </si>
  <si>
    <t>2.1.4</t>
  </si>
  <si>
    <r>
      <rPr>
        <sz val="10"/>
        <color rgb="FF333333"/>
        <rFont val="맑은 고딕"/>
        <family val="3"/>
        <charset val="129"/>
      </rPr>
      <t xml:space="preserve">      • JWT </t>
    </r>
    <r>
      <rPr>
        <sz val="10"/>
        <color rgb="FF333333"/>
        <rFont val="Noto Sans CJK SC"/>
        <family val="2"/>
      </rPr>
      <t xml:space="preserve">로그인 </t>
    </r>
    <r>
      <rPr>
        <sz val="10"/>
        <color rgb="FF333333"/>
        <rFont val="맑은 고딕"/>
        <family val="3"/>
        <charset val="129"/>
      </rPr>
      <t xml:space="preserve">/ </t>
    </r>
    <r>
      <rPr>
        <sz val="10"/>
        <color rgb="FF333333"/>
        <rFont val="Noto Sans CJK SC"/>
        <family val="2"/>
      </rPr>
      <t xml:space="preserve">토큰 갱신 </t>
    </r>
    <r>
      <rPr>
        <sz val="10"/>
        <color rgb="FF333333"/>
        <rFont val="맑은 고딕"/>
        <family val="3"/>
        <charset val="129"/>
      </rPr>
      <t>API</t>
    </r>
  </si>
  <si>
    <t>로그인 API</t>
  </si>
  <si>
    <t xml:space="preserve">   ▸ 주식 종목 조회 API</t>
  </si>
  <si>
    <t>종목 API</t>
  </si>
  <si>
    <t>2.2.1</t>
  </si>
  <si>
    <r>
      <rPr>
        <sz val="10"/>
        <color rgb="FF333333"/>
        <rFont val="맑은 고딕"/>
        <family val="3"/>
        <charset val="129"/>
      </rPr>
      <t xml:space="preserve">      • KIS Developers </t>
    </r>
    <r>
      <rPr>
        <sz val="10"/>
        <color rgb="FF333333"/>
        <rFont val="Noto Sans CJK SC"/>
        <family val="2"/>
      </rPr>
      <t xml:space="preserve">토큰 발급 </t>
    </r>
    <r>
      <rPr>
        <sz val="10"/>
        <color rgb="FF333333"/>
        <rFont val="맑은 고딕"/>
        <family val="3"/>
        <charset val="129"/>
      </rPr>
      <t xml:space="preserve">+ </t>
    </r>
    <r>
      <rPr>
        <sz val="10"/>
        <color rgb="FF333333"/>
        <rFont val="Noto Sans CJK SC"/>
        <family val="2"/>
      </rPr>
      <t>인증 모듈</t>
    </r>
  </si>
  <si>
    <t>인증 모듈</t>
  </si>
  <si>
    <t>2.2.2</t>
  </si>
  <si>
    <t xml:space="preserve">      • 종목 마스터 수집 (pykrx 배치)</t>
  </si>
  <si>
    <t>종목 DB</t>
  </si>
  <si>
    <t>2.2.3</t>
  </si>
  <si>
    <t xml:space="preserve">      • 종목 검색 API (자동완성 포함)</t>
  </si>
  <si>
    <t>검색 API</t>
  </si>
  <si>
    <t>2.2.4</t>
  </si>
  <si>
    <t xml:space="preserve">      • 종목 상세 / 실시간 시세 API</t>
  </si>
  <si>
    <t>시세 API</t>
  </si>
  <si>
    <t>8h</t>
  </si>
  <si>
    <t>2.2.5</t>
  </si>
  <si>
    <r>
      <rPr>
        <sz val="10"/>
        <color rgb="FF333333"/>
        <rFont val="맑은 고딕"/>
        <family val="3"/>
        <charset val="129"/>
      </rPr>
      <t xml:space="preserve">      • DART </t>
    </r>
    <r>
      <rPr>
        <sz val="10"/>
        <color rgb="FF333333"/>
        <rFont val="Noto Sans CJK SC"/>
        <family val="2"/>
      </rPr>
      <t xml:space="preserve">재무제표 조회 </t>
    </r>
    <r>
      <rPr>
        <sz val="10"/>
        <color rgb="FF333333"/>
        <rFont val="맑은 고딕"/>
        <family val="3"/>
        <charset val="129"/>
      </rPr>
      <t>API</t>
    </r>
  </si>
  <si>
    <t>재무 API</t>
  </si>
  <si>
    <t xml:space="preserve">   ▸ 종목 추천 로직</t>
  </si>
  <si>
    <t>추천 엔진</t>
  </si>
  <si>
    <t>2.3.1</t>
  </si>
  <si>
    <t xml:space="preserve">      • 위험성향 분류 알고리즘 (베타/변동성)</t>
  </si>
  <si>
    <t>분류 모듈</t>
  </si>
  <si>
    <t>2.3.2</t>
  </si>
  <si>
    <t xml:space="preserve">      • 출생연도 / 룰렛 추천 로직</t>
  </si>
  <si>
    <t>추천 모듈 v1</t>
  </si>
  <si>
    <t>2.3.3</t>
  </si>
  <si>
    <t xml:space="preserve">      • 스와이프 데이터 기반 협업 필터링</t>
  </si>
  <si>
    <t>추천 모듈 v2</t>
  </si>
  <si>
    <t>2.3.4</t>
  </si>
  <si>
    <t xml:space="preserve">      • 빅카인즈 뉴스 키워드 추출 + 종목 매칭</t>
  </si>
  <si>
    <t>키워드 매칭</t>
  </si>
  <si>
    <t>2.3.5</t>
  </si>
  <si>
    <r>
      <rPr>
        <sz val="10"/>
        <color rgb="FF333333"/>
        <rFont val="맑은 고딕"/>
        <family val="3"/>
        <charset val="129"/>
      </rPr>
      <t xml:space="preserve">      • LLM </t>
    </r>
    <r>
      <rPr>
        <sz val="10"/>
        <color rgb="FF333333"/>
        <rFont val="Noto Sans CJK SC"/>
        <family val="2"/>
      </rPr>
      <t xml:space="preserve">기반 일기 분석 </t>
    </r>
    <r>
      <rPr>
        <sz val="10"/>
        <color rgb="FF333333"/>
        <rFont val="맑은 고딕"/>
        <family val="3"/>
        <charset val="129"/>
      </rPr>
      <t xml:space="preserve">/ </t>
    </r>
    <r>
      <rPr>
        <sz val="10"/>
        <color rgb="FF333333"/>
        <rFont val="Noto Sans CJK SC"/>
        <family val="2"/>
      </rPr>
      <t xml:space="preserve">투자 </t>
    </r>
    <r>
      <rPr>
        <sz val="10"/>
        <color rgb="FF333333"/>
        <rFont val="맑은 고딕"/>
        <family val="3"/>
        <charset val="129"/>
      </rPr>
      <t>MBTI</t>
    </r>
  </si>
  <si>
    <r>
      <rPr>
        <sz val="10"/>
        <color rgb="FF333333"/>
        <rFont val="맑은 고딕"/>
        <family val="3"/>
        <charset val="129"/>
      </rPr>
      <t xml:space="preserve">AI </t>
    </r>
    <r>
      <rPr>
        <sz val="10"/>
        <color rgb="FF333333"/>
        <rFont val="Noto Sans CJK SC"/>
        <family val="2"/>
      </rPr>
      <t xml:space="preserve">분석 </t>
    </r>
    <r>
      <rPr>
        <sz val="10"/>
        <color rgb="FF333333"/>
        <rFont val="맑은 고딕"/>
        <family val="3"/>
        <charset val="129"/>
      </rPr>
      <t>API</t>
    </r>
  </si>
  <si>
    <t xml:space="preserve">   ▸ 커뮤니티 / 일기장 / 워치리스트 API</t>
  </si>
  <si>
    <t>CRUD API</t>
  </si>
  <si>
    <t>2.4.1</t>
  </si>
  <si>
    <t xml:space="preserve">      • 게시글 CRUD API + 페이지네이션</t>
  </si>
  <si>
    <t>게시글 API</t>
  </si>
  <si>
    <t>2.4.2</t>
  </si>
  <si>
    <t xml:space="preserve">      • 댓글 / 좋아요 API</t>
  </si>
  <si>
    <t>인터랙션 API</t>
  </si>
  <si>
    <t>2.4.3</t>
  </si>
  <si>
    <t xml:space="preserve">      • 주식 일기장 CRUD + 종목 태깅</t>
  </si>
  <si>
    <t>일기 API</t>
  </si>
  <si>
    <t>2.4.4</t>
  </si>
  <si>
    <t xml:space="preserve">      • 워치리스트 / 알림 API</t>
  </si>
  <si>
    <t>워치리스트 API</t>
  </si>
  <si>
    <r>
      <rPr>
        <b/>
        <sz val="12"/>
        <color rgb="FF1F4E79"/>
        <rFont val="맑은 고딕"/>
        <family val="3"/>
        <charset val="129"/>
      </rPr>
      <t xml:space="preserve">🟧 Phase 3. </t>
    </r>
    <r>
      <rPr>
        <b/>
        <sz val="12"/>
        <color rgb="FF1F4E79"/>
        <rFont val="Noto Sans CJK SC"/>
        <family val="2"/>
      </rPr>
      <t>프론트엔드 개발</t>
    </r>
  </si>
  <si>
    <t>Vue SPA</t>
  </si>
  <si>
    <r>
      <rPr>
        <b/>
        <sz val="11"/>
        <color rgb="FF2E5C8A"/>
        <rFont val="맑은 고딕"/>
        <family val="3"/>
        <charset val="129"/>
      </rPr>
      <t xml:space="preserve">   ▸ Vue </t>
    </r>
    <r>
      <rPr>
        <b/>
        <sz val="11"/>
        <color rgb="FF2E5C8A"/>
        <rFont val="Noto Sans CJK SC"/>
        <family val="2"/>
      </rPr>
      <t xml:space="preserve">세팅 </t>
    </r>
    <r>
      <rPr>
        <b/>
        <sz val="11"/>
        <color rgb="FF2E5C8A"/>
        <rFont val="맑은 고딕"/>
        <family val="3"/>
        <charset val="129"/>
      </rPr>
      <t xml:space="preserve">+ </t>
    </r>
    <r>
      <rPr>
        <b/>
        <sz val="11"/>
        <color rgb="FF2E5C8A"/>
        <rFont val="Noto Sans CJK SC"/>
        <family val="2"/>
      </rPr>
      <t>인증</t>
    </r>
    <r>
      <rPr>
        <b/>
        <sz val="11"/>
        <color rgb="FF2E5C8A"/>
        <rFont val="맑은 고딕"/>
        <family val="3"/>
        <charset val="129"/>
      </rPr>
      <t>/</t>
    </r>
    <r>
      <rPr>
        <b/>
        <sz val="11"/>
        <color rgb="FF2E5C8A"/>
        <rFont val="Noto Sans CJK SC"/>
        <family val="2"/>
      </rPr>
      <t>홈</t>
    </r>
  </si>
  <si>
    <t>진입 화면</t>
  </si>
  <si>
    <t>3.1.1</t>
  </si>
  <si>
    <r>
      <rPr>
        <sz val="10"/>
        <color rgb="FF333333"/>
        <rFont val="맑은 고딕"/>
        <family val="3"/>
        <charset val="129"/>
      </rPr>
      <t xml:space="preserve">      • Vue </t>
    </r>
    <r>
      <rPr>
        <sz val="10"/>
        <color rgb="FF333333"/>
        <rFont val="Noto Sans CJK SC"/>
        <family val="2"/>
      </rPr>
      <t xml:space="preserve">프로젝트 초기화 </t>
    </r>
    <r>
      <rPr>
        <sz val="10"/>
        <color rgb="FF333333"/>
        <rFont val="맑은 고딕"/>
        <family val="3"/>
        <charset val="129"/>
      </rPr>
      <t xml:space="preserve">+ Router/Pinia </t>
    </r>
    <r>
      <rPr>
        <sz val="10"/>
        <color rgb="FF333333"/>
        <rFont val="Noto Sans CJK SC"/>
        <family val="2"/>
      </rPr>
      <t>세팅</t>
    </r>
  </si>
  <si>
    <t>3.1.2</t>
  </si>
  <si>
    <t xml:space="preserve">      • 공통 컴포넌트 (Header/Footer/Modal/Toast)</t>
  </si>
  <si>
    <t>컴포넌트 셋</t>
  </si>
  <si>
    <t>3.1.3</t>
  </si>
  <si>
    <t xml:space="preserve">      • 회원가입 / 로그인 페이지 (소셜 포함)</t>
  </si>
  <si>
    <t>인증 화면</t>
  </si>
  <si>
    <t>3.1.4</t>
  </si>
  <si>
    <t xml:space="preserve">      • 홈 페이지 (트렌딩 / 룰렛 / 추천 진입)</t>
  </si>
  <si>
    <t>홈 화면</t>
  </si>
  <si>
    <t xml:space="preserve">   ▸ 종목 목록 / 상세 페이지</t>
  </si>
  <si>
    <t>종목 화면</t>
  </si>
  <si>
    <t>3.2.1</t>
  </si>
  <si>
    <t xml:space="preserve">      • 종목 목록 + 필터/정렬 (업종/시총)</t>
  </si>
  <si>
    <t>목록 화면</t>
  </si>
  <si>
    <t>3.2.2</t>
  </si>
  <si>
    <t xml:space="preserve">      • 종목 검색 페이지 + 자동완성</t>
  </si>
  <si>
    <t>검색 화면</t>
  </si>
  <si>
    <t>3.2.3</t>
  </si>
  <si>
    <t xml:space="preserve">      • 종목 상세 페이지 (시세 + 캔들 차트)</t>
  </si>
  <si>
    <t>상세 화면</t>
  </si>
  <si>
    <t>3.2.4</t>
  </si>
  <si>
    <t xml:space="preserve">      • 재무지표 시각화 (PER/ROE Chart.js)</t>
  </si>
  <si>
    <t>재무 차트</t>
  </si>
  <si>
    <t xml:space="preserve">   ▸ 종목 추천 스와이프 UI</t>
  </si>
  <si>
    <t>추천 화면</t>
  </si>
  <si>
    <t>3.3.1</t>
  </si>
  <si>
    <t xml:space="preserve">      • 스와이프 카드 컴포넌트 디자인</t>
  </si>
  <si>
    <t>카드 컴포넌트</t>
  </si>
  <si>
    <t>3.3.2</t>
  </si>
  <si>
    <t xml:space="preserve">      • 좌/우/위 스와이프 인터랙션 (Hammer.js)</t>
  </si>
  <si>
    <t>제스처 처리</t>
  </si>
  <si>
    <t>3.3.3</t>
  </si>
  <si>
    <t xml:space="preserve">      • 워치리스트 추가 애니메이션</t>
  </si>
  <si>
    <t>애니메이션</t>
  </si>
  <si>
    <t>3.3.4</t>
  </si>
  <si>
    <t xml:space="preserve">      • 오늘의 룰렛 UI / 일 1회 제한</t>
  </si>
  <si>
    <t>룰렛 화면</t>
  </si>
  <si>
    <t xml:space="preserve">   ▸ 커뮤니티 / 일기장 / 프로필</t>
  </si>
  <si>
    <t>소셜/개인 화면</t>
  </si>
  <si>
    <t>3.4.1</t>
  </si>
  <si>
    <t xml:space="preserve">      • 게시글 목록 / 작성 / 상세 페이지</t>
  </si>
  <si>
    <t>게시글 화면</t>
  </si>
  <si>
    <t>3.4.2</t>
  </si>
  <si>
    <t xml:space="preserve">      • 댓글 / 좋아요 인터랙션</t>
  </si>
  <si>
    <t>인터랙션</t>
  </si>
  <si>
    <t>3.4.3</t>
  </si>
  <si>
    <t xml:space="preserve">      • 주식 일기장 페이지 + 종목 태깅</t>
  </si>
  <si>
    <t>일기 화면</t>
  </si>
  <si>
    <t>3.4.4</t>
  </si>
  <si>
    <t xml:space="preserve">      • 마이프로필 / 투자 MBTI 리포트</t>
  </si>
  <si>
    <t>프로필 화면</t>
  </si>
  <si>
    <r>
      <rPr>
        <b/>
        <sz val="12"/>
        <color rgb="FF1F4E79"/>
        <rFont val="맑은 고딕"/>
        <family val="3"/>
        <charset val="129"/>
      </rPr>
      <t xml:space="preserve">🟪 Phase 4. </t>
    </r>
    <r>
      <rPr>
        <b/>
        <sz val="12"/>
        <color rgb="FF1F4E79"/>
        <rFont val="Noto Sans CJK SC"/>
        <family val="2"/>
      </rPr>
      <t>통합</t>
    </r>
    <r>
      <rPr>
        <b/>
        <sz val="12"/>
        <color rgb="FF1F4E79"/>
        <rFont val="맑은 고딕"/>
        <family val="3"/>
        <charset val="129"/>
      </rPr>
      <t>·</t>
    </r>
    <r>
      <rPr>
        <b/>
        <sz val="12"/>
        <color rgb="FF1F4E79"/>
        <rFont val="Noto Sans CJK SC"/>
        <family val="2"/>
      </rPr>
      <t>테스트</t>
    </r>
  </si>
  <si>
    <t>안정화 결과물</t>
  </si>
  <si>
    <r>
      <rPr>
        <b/>
        <sz val="11"/>
        <color rgb="FF2E5C8A"/>
        <rFont val="맑은 고딕"/>
        <family val="3"/>
        <charset val="129"/>
      </rPr>
      <t xml:space="preserve">   ▸ Frontend ↔ Backend </t>
    </r>
    <r>
      <rPr>
        <b/>
        <sz val="11"/>
        <color rgb="FF2E5C8A"/>
        <rFont val="Noto Sans CJK SC"/>
        <family val="2"/>
      </rPr>
      <t>통합</t>
    </r>
  </si>
  <si>
    <t>통합 완료</t>
  </si>
  <si>
    <t>4.1.1</t>
  </si>
  <si>
    <r>
      <rPr>
        <sz val="10"/>
        <color rgb="FF333333"/>
        <rFont val="맑은 고딕"/>
        <family val="3"/>
        <charset val="129"/>
      </rPr>
      <t xml:space="preserve">      • API </t>
    </r>
    <r>
      <rPr>
        <sz val="10"/>
        <color rgb="FF333333"/>
        <rFont val="Noto Sans CJK SC"/>
        <family val="2"/>
      </rPr>
      <t xml:space="preserve">응답 타입 정의 </t>
    </r>
    <r>
      <rPr>
        <sz val="10"/>
        <color rgb="FF333333"/>
        <rFont val="맑은 고딕"/>
        <family val="3"/>
        <charset val="129"/>
      </rPr>
      <t xml:space="preserve">+ Axios </t>
    </r>
    <r>
      <rPr>
        <sz val="10"/>
        <color rgb="FF333333"/>
        <rFont val="Noto Sans CJK SC"/>
        <family val="2"/>
      </rPr>
      <t>인터셉터</t>
    </r>
  </si>
  <si>
    <t>타입 정의</t>
  </si>
  <si>
    <t>4.1.2</t>
  </si>
  <si>
    <t xml:space="preserve">      • 인증 토큰 처리 (Refresh 로직)</t>
  </si>
  <si>
    <t>토큰 처리</t>
  </si>
  <si>
    <t>4.1.3</t>
  </si>
  <si>
    <t xml:space="preserve">      • 에러 핸들링 통합</t>
  </si>
  <si>
    <t>에러 처리</t>
  </si>
  <si>
    <t>4.1.4</t>
  </si>
  <si>
    <t xml:space="preserve">      • 로딩 / 스켈레톤 UI</t>
  </si>
  <si>
    <r>
      <rPr>
        <sz val="10"/>
        <color rgb="FF333333"/>
        <rFont val="맑은 고딕"/>
        <family val="3"/>
        <charset val="129"/>
      </rPr>
      <t xml:space="preserve">UX </t>
    </r>
    <r>
      <rPr>
        <sz val="10"/>
        <color rgb="FF333333"/>
        <rFont val="Noto Sans CJK SC"/>
        <family val="2"/>
      </rPr>
      <t>개선</t>
    </r>
  </si>
  <si>
    <t xml:space="preserve">   ▸ 시나리오 통합 테스트</t>
  </si>
  <si>
    <r>
      <rPr>
        <b/>
        <sz val="11"/>
        <color rgb="FF2E5C8A"/>
        <rFont val="맑은 고딕"/>
        <family val="3"/>
        <charset val="129"/>
      </rPr>
      <t xml:space="preserve">QA </t>
    </r>
    <r>
      <rPr>
        <b/>
        <sz val="11"/>
        <color rgb="FF2E5C8A"/>
        <rFont val="Noto Sans CJK SC"/>
        <family val="2"/>
      </rPr>
      <t>리포트</t>
    </r>
  </si>
  <si>
    <t>4.2.1</t>
  </si>
  <si>
    <t xml:space="preserve">      • 회원가입~첫 추천 시나리오</t>
  </si>
  <si>
    <t>시나리오 1</t>
  </si>
  <si>
    <t>4.2.2</t>
  </si>
  <si>
    <t xml:space="preserve">      • 스와이프~워치리스트 시나리오</t>
  </si>
  <si>
    <t>시나리오 2</t>
  </si>
  <si>
    <t>4.2.3</t>
  </si>
  <si>
    <t xml:space="preserve">      • 일기 작성~AI 분석 시나리오</t>
  </si>
  <si>
    <t>시나리오 3</t>
  </si>
  <si>
    <t>4.2.4</t>
  </si>
  <si>
    <t xml:space="preserve">      • 데모 시나리오 영상 캡처</t>
  </si>
  <si>
    <t>데모 영상</t>
  </si>
  <si>
    <t xml:space="preserve">   ▸ 버그 픽스 / 리팩토링</t>
  </si>
  <si>
    <t>안정 버전</t>
  </si>
  <si>
    <t>4.3.1</t>
  </si>
  <si>
    <t xml:space="preserve">      • 크로스 브라우저 테스트</t>
  </si>
  <si>
    <t>호환성 리포트</t>
  </si>
  <si>
    <t>4.3.2</t>
  </si>
  <si>
    <t xml:space="preserve">      • 모바일 반응형 점검</t>
  </si>
  <si>
    <t>반응형 패치</t>
  </si>
  <si>
    <t>4.3.3</t>
  </si>
  <si>
    <t xml:space="preserve">      • 성능 개선 (이미지/캐싱)</t>
  </si>
  <si>
    <t>성능 패치</t>
  </si>
  <si>
    <t>4.3.4</t>
  </si>
  <si>
    <t xml:space="preserve">      • 코드 리팩토링 / 주석 정리</t>
  </si>
  <si>
    <t>리팩토링</t>
  </si>
  <si>
    <r>
      <rPr>
        <b/>
        <sz val="12"/>
        <color rgb="FF1F4E79"/>
        <rFont val="맑은 고딕"/>
        <family val="3"/>
        <charset val="129"/>
      </rPr>
      <t xml:space="preserve">🟥 Phase 5. </t>
    </r>
    <r>
      <rPr>
        <b/>
        <sz val="12"/>
        <color rgb="FF1F4E79"/>
        <rFont val="Noto Sans CJK SC"/>
        <family val="2"/>
      </rPr>
      <t>발표 준비</t>
    </r>
  </si>
  <si>
    <t>발표 산출물</t>
  </si>
  <si>
    <t xml:space="preserve">   ▸ 발표 자료 / 시연 영상</t>
  </si>
  <si>
    <t>발표 패키지</t>
  </si>
  <si>
    <t>5.1.1</t>
  </si>
  <si>
    <t xml:space="preserve">      • 발표 PPT 제작</t>
  </si>
  <si>
    <t>PPT</t>
  </si>
  <si>
    <t>5.1.2</t>
  </si>
  <si>
    <t xml:space="preserve">      • 시연 영상 편집</t>
  </si>
  <si>
    <t>시연 영상</t>
  </si>
  <si>
    <t>5.1.3</t>
  </si>
  <si>
    <r>
      <rPr>
        <sz val="10"/>
        <color rgb="FF333333"/>
        <rFont val="맑은 고딕"/>
        <family val="3"/>
        <charset val="129"/>
      </rPr>
      <t xml:space="preserve">      • README / </t>
    </r>
    <r>
      <rPr>
        <sz val="10"/>
        <color rgb="FF333333"/>
        <rFont val="Noto Sans CJK SC"/>
        <family val="2"/>
      </rPr>
      <t>포트폴리오 정리</t>
    </r>
  </si>
  <si>
    <t>README</t>
  </si>
  <si>
    <t>5.1.4</t>
  </si>
  <si>
    <r>
      <rPr>
        <sz val="10"/>
        <color rgb="FF333333"/>
        <rFont val="맑은 고딕"/>
        <family val="3"/>
        <charset val="129"/>
      </rPr>
      <t xml:space="preserve">      • ERD / </t>
    </r>
    <r>
      <rPr>
        <sz val="10"/>
        <color rgb="FF333333"/>
        <rFont val="Noto Sans CJK SC"/>
        <family val="2"/>
      </rPr>
      <t>아키텍처 다이어그램</t>
    </r>
  </si>
  <si>
    <t>다이어그램</t>
  </si>
  <si>
    <t xml:space="preserve">   ▸ 발표 리허설</t>
  </si>
  <si>
    <t>리허설 완료</t>
  </si>
  <si>
    <t>5.2.1</t>
  </si>
  <si>
    <t xml:space="preserve">      • 시연 환경 점검 (서버 / 시드 데이터)</t>
  </si>
  <si>
    <t>시연 환경</t>
  </si>
  <si>
    <t>5.2.2</t>
  </si>
  <si>
    <r>
      <rPr>
        <sz val="10"/>
        <color rgb="FF333333"/>
        <rFont val="맑은 고딕"/>
        <family val="3"/>
        <charset val="129"/>
      </rPr>
      <t xml:space="preserve">      • Q&amp;A </t>
    </r>
    <r>
      <rPr>
        <sz val="10"/>
        <color rgb="FF333333"/>
        <rFont val="Noto Sans CJK SC"/>
        <family val="2"/>
      </rPr>
      <t>예상 질문 준비</t>
    </r>
  </si>
  <si>
    <r>
      <rPr>
        <sz val="10"/>
        <color rgb="FF333333"/>
        <rFont val="맑은 고딕"/>
        <family val="3"/>
        <charset val="129"/>
      </rPr>
      <t xml:space="preserve">QA </t>
    </r>
    <r>
      <rPr>
        <sz val="10"/>
        <color rgb="FF333333"/>
        <rFont val="Noto Sans CJK SC"/>
        <family val="2"/>
      </rPr>
      <t>리스트</t>
    </r>
  </si>
  <si>
    <t>5.2.3</t>
  </si>
  <si>
    <t xml:space="preserve">      • 발표 시간 측정 / 조정</t>
  </si>
  <si>
    <t>발표 스크립트</t>
  </si>
  <si>
    <t>5.2.4</t>
  </si>
  <si>
    <t xml:space="preserve">      • 최종 리허설</t>
  </si>
  <si>
    <t>최종 리허설</t>
  </si>
  <si>
    <t xml:space="preserve">   ▸ 최종 발표 (D-Day)</t>
  </si>
  <si>
    <t>발표 완료</t>
  </si>
  <si>
    <t>5.3.1</t>
  </si>
  <si>
    <t xml:space="preserve">      • 발표 진행</t>
  </si>
  <si>
    <t>발표</t>
  </si>
  <si>
    <t>2h</t>
  </si>
  <si>
    <t>5.3.2</t>
  </si>
  <si>
    <t xml:space="preserve">      • 데모 시연</t>
  </si>
  <si>
    <t>시연</t>
  </si>
  <si>
    <t>5.3.3</t>
  </si>
  <si>
    <r>
      <rPr>
        <sz val="10"/>
        <color rgb="FF333333"/>
        <rFont val="맑은 고딕"/>
        <family val="3"/>
        <charset val="129"/>
      </rPr>
      <t xml:space="preserve">      • Q&amp;A </t>
    </r>
    <r>
      <rPr>
        <sz val="10"/>
        <color rgb="FF333333"/>
        <rFont val="Noto Sans CJK SC"/>
        <family val="2"/>
      </rPr>
      <t>응답</t>
    </r>
  </si>
  <si>
    <t>Q&amp;A</t>
  </si>
  <si>
    <t>5.3.4</t>
  </si>
  <si>
    <t xml:space="preserve">      • 회고 / 피드백 정리</t>
  </si>
  <si>
    <t>강재민·송호영</t>
  </si>
  <si>
    <t>회고록</t>
  </si>
  <si>
    <t>📊 요약</t>
  </si>
  <si>
    <r>
      <rPr>
        <sz val="10"/>
        <rFont val="맑은 고딕"/>
        <family val="3"/>
        <charset val="129"/>
      </rPr>
      <t xml:space="preserve">Phase </t>
    </r>
    <r>
      <rPr>
        <sz val="10"/>
        <rFont val="Noto Sans CJK SC"/>
        <family val="2"/>
      </rPr>
      <t>수</t>
    </r>
  </si>
  <si>
    <r>
      <rPr>
        <sz val="10"/>
        <rFont val="맑은 고딕"/>
        <family val="3"/>
        <charset val="129"/>
      </rPr>
      <t xml:space="preserve">Story </t>
    </r>
    <r>
      <rPr>
        <sz val="10"/>
        <rFont val="Noto Sans CJK SC"/>
        <family val="2"/>
      </rPr>
      <t>수</t>
    </r>
  </si>
  <si>
    <r>
      <rPr>
        <sz val="10"/>
        <rFont val="맑은 고딕"/>
        <family val="3"/>
        <charset val="129"/>
      </rPr>
      <t xml:space="preserve">Task </t>
    </r>
    <r>
      <rPr>
        <sz val="10"/>
        <rFont val="Noto Sans CJK SC"/>
        <family val="2"/>
      </rPr>
      <t xml:space="preserve">수 </t>
    </r>
    <r>
      <rPr>
        <sz val="10"/>
        <rFont val="맑은 고딕"/>
        <family val="3"/>
        <charset val="129"/>
      </rPr>
      <t>(Level 3)</t>
    </r>
  </si>
  <si>
    <t>예상 총 작업 시간</t>
  </si>
  <si>
    <t>약 371h (2명 분담, 6주 = 1인당 주 30h)</t>
  </si>
  <si>
    <t>🗓️  관통PJT 간트 차트  —  샘플 (AI 자소서 코칭 서비스)</t>
  </si>
  <si>
    <r>
      <rPr>
        <b/>
        <sz val="11"/>
        <rFont val="맑은 고딕"/>
        <family val="3"/>
        <charset val="129"/>
      </rPr>
      <t>15</t>
    </r>
    <r>
      <rPr>
        <b/>
        <sz val="11"/>
        <rFont val="Noto Sans CJK SC"/>
        <family val="2"/>
      </rPr>
      <t xml:space="preserve">기 </t>
    </r>
    <r>
      <rPr>
        <b/>
        <sz val="11"/>
        <rFont val="맑은 고딕"/>
        <family val="3"/>
        <charset val="129"/>
      </rPr>
      <t>7</t>
    </r>
    <r>
      <rPr>
        <b/>
        <sz val="11"/>
        <rFont val="Noto Sans CJK SC"/>
        <family val="2"/>
      </rPr>
      <t xml:space="preserve">반 </t>
    </r>
    <r>
      <rPr>
        <b/>
        <sz val="11"/>
        <rFont val="맑은 고딕"/>
        <family val="3"/>
        <charset val="129"/>
      </rPr>
      <t>1</t>
    </r>
    <r>
      <rPr>
        <b/>
        <sz val="11"/>
        <rFont val="Noto Sans CJK SC"/>
        <family val="2"/>
      </rPr>
      <t>팀</t>
    </r>
  </si>
  <si>
    <t>김민수</t>
  </si>
  <si>
    <r>
      <rPr>
        <b/>
        <sz val="11"/>
        <rFont val="맑은 고딕"/>
        <family val="3"/>
        <charset val="129"/>
      </rPr>
      <t xml:space="preserve">AI </t>
    </r>
    <r>
      <rPr>
        <b/>
        <sz val="11"/>
        <rFont val="Noto Sans CJK SC"/>
        <family val="2"/>
      </rPr>
      <t xml:space="preserve">자소서 코칭 서비스 </t>
    </r>
    <r>
      <rPr>
        <b/>
        <sz val="11"/>
        <rFont val="맑은 고딕"/>
        <family val="3"/>
        <charset val="129"/>
      </rPr>
      <t>(Resume-Master)</t>
    </r>
  </si>
  <si>
    <t>Day
1</t>
  </si>
  <si>
    <t>Day
2</t>
  </si>
  <si>
    <t>Day
3</t>
  </si>
  <si>
    <t>Day
4</t>
  </si>
  <si>
    <t>Day
5</t>
  </si>
  <si>
    <t>Day
6</t>
  </si>
  <si>
    <t>Day
7</t>
  </si>
  <si>
    <t>Day
8</t>
  </si>
  <si>
    <t>Day
9</t>
  </si>
  <si>
    <t>Day
10</t>
  </si>
  <si>
    <t>Day
11</t>
  </si>
  <si>
    <t>Day
12</t>
  </si>
  <si>
    <t>Day
13</t>
  </si>
  <si>
    <t>Day
14</t>
  </si>
  <si>
    <t>문제 정의 / 사용자 스토리 작성</t>
  </si>
  <si>
    <r>
      <rPr>
        <sz val="10"/>
        <rFont val="맑은 고딕"/>
        <family val="3"/>
        <charset val="129"/>
      </rPr>
      <t xml:space="preserve">ERD </t>
    </r>
    <r>
      <rPr>
        <sz val="10"/>
        <rFont val="Noto Sans CJK SC"/>
        <family val="2"/>
      </rPr>
      <t>설계</t>
    </r>
  </si>
  <si>
    <t>이지현</t>
  </si>
  <si>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명세서 작성</t>
    </r>
  </si>
  <si>
    <t>박서준</t>
  </si>
  <si>
    <t>와이어프레임 / 화면 설계</t>
  </si>
  <si>
    <t>최유나</t>
  </si>
  <si>
    <r>
      <rPr>
        <sz val="10"/>
        <rFont val="맑은 고딕"/>
        <family val="3"/>
        <charset val="129"/>
      </rPr>
      <t xml:space="preserve">Django </t>
    </r>
    <r>
      <rPr>
        <sz val="10"/>
        <rFont val="Noto Sans CJK SC"/>
        <family val="2"/>
      </rPr>
      <t>프로젝트 초기 세팅</t>
    </r>
  </si>
  <si>
    <r>
      <rPr>
        <sz val="10"/>
        <rFont val="맑은 고딕"/>
        <family val="3"/>
        <charset val="129"/>
      </rPr>
      <t xml:space="preserve">User </t>
    </r>
    <r>
      <rPr>
        <sz val="10"/>
        <rFont val="Noto Sans CJK SC"/>
        <family val="2"/>
      </rPr>
      <t xml:space="preserve">모델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인증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구현</t>
    </r>
  </si>
  <si>
    <r>
      <rPr>
        <sz val="10"/>
        <rFont val="맑은 고딕"/>
        <family val="3"/>
        <charset val="129"/>
      </rPr>
      <t xml:space="preserve">Resume CRUD API </t>
    </r>
    <r>
      <rPr>
        <sz val="10"/>
        <rFont val="Noto Sans CJK SC"/>
        <family val="2"/>
      </rPr>
      <t>구현</t>
    </r>
  </si>
  <si>
    <r>
      <rPr>
        <sz val="10"/>
        <rFont val="맑은 고딕"/>
        <family val="3"/>
        <charset val="129"/>
      </rPr>
      <t xml:space="preserve">OpenAI </t>
    </r>
    <r>
      <rPr>
        <sz val="10"/>
        <rFont val="Noto Sans CJK SC"/>
        <family val="2"/>
      </rPr>
      <t xml:space="preserve">연동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코칭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구현</t>
    </r>
  </si>
  <si>
    <t>2.2,2.3</t>
  </si>
  <si>
    <t>2.5</t>
  </si>
  <si>
    <t>백엔드 단위 테스트</t>
  </si>
  <si>
    <r>
      <rPr>
        <sz val="10"/>
        <rFont val="맑은 고딕"/>
        <family val="3"/>
        <charset val="129"/>
      </rPr>
      <t xml:space="preserve">Vue </t>
    </r>
    <r>
      <rPr>
        <sz val="10"/>
        <rFont val="Noto Sans CJK SC"/>
        <family val="2"/>
      </rPr>
      <t>프로젝트 초기 세팅</t>
    </r>
  </si>
  <si>
    <t>로그인 / 회원가입 페이지</t>
  </si>
  <si>
    <t>자소서 작성 페이지</t>
  </si>
  <si>
    <t>3.1,1.4</t>
  </si>
  <si>
    <t>코칭 결과 페이지</t>
  </si>
  <si>
    <r>
      <rPr>
        <sz val="10"/>
        <rFont val="맑은 고딕"/>
        <family val="3"/>
        <charset val="129"/>
      </rPr>
      <t xml:space="preserve">Frontend ↔ Backend </t>
    </r>
    <r>
      <rPr>
        <sz val="10"/>
        <rFont val="Noto Sans CJK SC"/>
        <family val="2"/>
      </rPr>
      <t>통합</t>
    </r>
  </si>
  <si>
    <t>2.5,3.4</t>
  </si>
  <si>
    <t>시나리오 통합 테스트</t>
  </si>
  <si>
    <t>버그 픽스 / 리팩토링</t>
  </si>
  <si>
    <t>발표 자료 작성</t>
  </si>
  <si>
    <t>시연 시나리오 리허설</t>
  </si>
  <si>
    <t>s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</si>
</sst>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\ h:mm:ss"/>
    <numFmt numFmtId="177" formatCode="yyyy\-mm\-dd"/>
    <numFmt numFmtId="178" formatCode="m/d"/>
    <numFmt numFmtId="179" formatCode="mm\-dd"/>
  </numFmts>
  <fonts count="50">
    <font>
      <sz val="11"/>
      <color theme="1"/>
      <name val="Calibri"/>
      <family val="2"/>
      <charset val="1"/>
    </font>
    <font>
      <b/>
      <sz val="20"/>
      <color rgb="FF1F4E79"/>
      <name val="Noto Sans CJK SC"/>
      <family val="2"/>
      <charset val="1"/>
    </font>
    <font>
      <i/>
      <sz val="11"/>
      <color rgb="FF595959"/>
      <name val="맑은 고딕"/>
      <family val="3"/>
      <charset val="129"/>
    </font>
    <font>
      <i/>
      <sz val="11"/>
      <color rgb="FF595959"/>
      <name val="Noto Sans CJK SC"/>
      <family val="2"/>
    </font>
    <font>
      <b/>
      <sz val="14"/>
      <color rgb="FF1F4E79"/>
      <name val="맑은 고딕"/>
      <family val="3"/>
      <charset val="129"/>
    </font>
    <font>
      <b/>
      <sz val="14"/>
      <color rgb="FF1F4E79"/>
      <name val="Noto Sans CJK SC"/>
      <family val="2"/>
    </font>
    <font>
      <b/>
      <sz val="10"/>
      <color rgb="FF595959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sz val="10"/>
      <color rgb="FF000000"/>
      <name val="Noto Sans CJK SC"/>
      <family val="2"/>
      <charset val="1"/>
    </font>
    <font>
      <b/>
      <sz val="10"/>
      <color rgb="FF595959"/>
      <name val="Noto Sans CJK SC"/>
      <family val="2"/>
    </font>
    <font>
      <b/>
      <sz val="10"/>
      <color rgb="FF595959"/>
      <name val="Noto Sans CJK SC"/>
      <family val="2"/>
      <charset val="1"/>
    </font>
    <font>
      <sz val="14"/>
      <name val="Cambria"/>
      <family val="1"/>
      <charset val="1"/>
    </font>
    <font>
      <b/>
      <i/>
      <sz val="11"/>
      <color rgb="FF1F4E79"/>
      <name val="Noto Sans CJK SC"/>
      <family val="2"/>
      <charset val="1"/>
    </font>
    <font>
      <b/>
      <sz val="18"/>
      <color rgb="FF1F4E79"/>
      <name val="Noto Sans CJK SC"/>
      <family val="2"/>
      <charset val="1"/>
    </font>
    <font>
      <b/>
      <sz val="11"/>
      <name val="맑은 고딕"/>
      <family val="3"/>
      <charset val="129"/>
    </font>
    <font>
      <b/>
      <sz val="11"/>
      <name val="Noto Sans CJK SC"/>
      <family val="2"/>
    </font>
    <font>
      <b/>
      <sz val="11"/>
      <name val="Noto Sans CJK SC"/>
      <family val="2"/>
      <charset val="1"/>
    </font>
    <font>
      <b/>
      <sz val="11"/>
      <color rgb="FF1F4E79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b/>
      <sz val="10"/>
      <color rgb="FF1F4E79"/>
      <name val="맑은 고딕"/>
      <family val="3"/>
      <charset val="129"/>
    </font>
    <font>
      <b/>
      <sz val="10"/>
      <color rgb="FF1F4E79"/>
      <name val="Noto Sans CJK SC"/>
      <family val="2"/>
    </font>
    <font>
      <b/>
      <sz val="11"/>
      <color rgb="FFFFFFFF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8"/>
      <name val="맑은 고딕"/>
      <family val="3"/>
      <charset val="129"/>
    </font>
    <font>
      <i/>
      <sz val="9"/>
      <color rgb="FF595959"/>
      <name val="Noto Sans CJK SC"/>
      <family val="2"/>
      <charset val="1"/>
    </font>
    <font>
      <sz val="8"/>
      <color rgb="FF5B6770"/>
      <name val="맑은 고딕"/>
      <family val="3"/>
      <charset val="129"/>
    </font>
    <font>
      <sz val="8"/>
      <color rgb="FF5B6770"/>
      <name val="Noto Sans CJK SC"/>
      <family val="2"/>
    </font>
    <font>
      <b/>
      <sz val="11"/>
      <color rgb="FF1F4E79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  <charset val="1"/>
    </font>
    <font>
      <sz val="10"/>
      <name val="Noto Sans CJK SC"/>
      <family val="2"/>
    </font>
    <font>
      <b/>
      <sz val="12"/>
      <color rgb="FF1F4E79"/>
      <name val="Noto Sans CJK SC"/>
      <family val="2"/>
      <charset val="1"/>
    </font>
    <font>
      <b/>
      <sz val="10"/>
      <name val="Noto Sans CJK SC"/>
      <family val="2"/>
      <charset val="1"/>
    </font>
    <font>
      <i/>
      <sz val="11"/>
      <color rgb="FF5B6770"/>
      <name val="맑은 고딕"/>
      <family val="3"/>
      <charset val="129"/>
    </font>
    <font>
      <i/>
      <sz val="11"/>
      <color rgb="FF5B6770"/>
      <name val="Noto Sans CJK SC"/>
      <family val="2"/>
    </font>
    <font>
      <b/>
      <sz val="11"/>
      <color rgb="FFFFFFFF"/>
      <name val="맑은 고딕"/>
      <family val="3"/>
      <charset val="129"/>
    </font>
    <font>
      <b/>
      <sz val="12"/>
      <color rgb="FF1F4E79"/>
      <name val="맑은 고딕"/>
      <family val="3"/>
      <charset val="129"/>
    </font>
    <font>
      <b/>
      <sz val="12"/>
      <color rgb="FF1F4E79"/>
      <name val="Noto Sans CJK SC"/>
      <family val="2"/>
    </font>
    <font>
      <b/>
      <sz val="11"/>
      <color rgb="FF2E5C8A"/>
      <name val="맑은 고딕"/>
      <family val="3"/>
      <charset val="129"/>
    </font>
    <font>
      <b/>
      <sz val="11"/>
      <color rgb="FF2E5C8A"/>
      <name val="Noto Sans CJK SC"/>
      <family val="2"/>
      <charset val="1"/>
    </font>
    <font>
      <sz val="10"/>
      <color rgb="FF333333"/>
      <name val="맑은 고딕"/>
      <family val="3"/>
      <charset val="129"/>
    </font>
    <font>
      <sz val="10"/>
      <color rgb="FF333333"/>
      <name val="Noto Sans CJK SC"/>
      <family val="2"/>
      <charset val="1"/>
    </font>
    <font>
      <sz val="10"/>
      <color rgb="FF333333"/>
      <name val="Noto Sans CJK SC"/>
      <family val="2"/>
    </font>
    <font>
      <b/>
      <sz val="11"/>
      <color rgb="FF2E5C8A"/>
      <name val="Noto Sans CJK SC"/>
      <family val="2"/>
    </font>
    <font>
      <sz val="1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595959"/>
      <name val="맑은 고딕"/>
      <family val="3"/>
      <charset val="129"/>
    </font>
    <font>
      <sz val="8"/>
      <name val="돋움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DEEBF7"/>
      </patternFill>
    </fill>
    <fill>
      <patternFill patternType="solid">
        <fgColor rgb="FF2F5496"/>
        <bgColor rgb="FF2E5C8A"/>
      </patternFill>
    </fill>
    <fill>
      <patternFill patternType="solid">
        <fgColor rgb="FFDEEBF7"/>
        <bgColor rgb="FFD5E5F4"/>
      </patternFill>
    </fill>
    <fill>
      <patternFill patternType="solid">
        <fgColor rgb="FFD5E5F4"/>
        <bgColor rgb="FFCDDFEF"/>
      </patternFill>
    </fill>
    <fill>
      <patternFill patternType="solid">
        <fgColor rgb="FFCDDFEF"/>
        <bgColor rgb="FFC5D9EC"/>
      </patternFill>
    </fill>
    <fill>
      <patternFill patternType="solid">
        <fgColor rgb="FFC5D9EC"/>
        <bgColor rgb="FFCDDFEF"/>
      </patternFill>
    </fill>
    <fill>
      <patternFill patternType="solid">
        <fgColor rgb="FFBDD3E8"/>
        <bgColor rgb="FFC5D9EC"/>
      </patternFill>
    </fill>
    <fill>
      <patternFill patternType="solid">
        <fgColor rgb="FFFFE699"/>
        <bgColor rgb="FFFFF2CC"/>
      </patternFill>
    </fill>
    <fill>
      <patternFill patternType="solid">
        <fgColor rgb="FFF4B084"/>
        <bgColor rgb="FFF8CBAD"/>
      </patternFill>
    </fill>
    <fill>
      <patternFill patternType="solid">
        <fgColor rgb="FFD9D9D9"/>
        <bgColor rgb="FFCDDFEF"/>
      </patternFill>
    </fill>
    <fill>
      <patternFill patternType="solid">
        <fgColor rgb="FFA8D08D"/>
        <bgColor rgb="FFBFBFBF"/>
      </patternFill>
    </fill>
    <fill>
      <patternFill patternType="solid">
        <fgColor rgb="FFFFD966"/>
        <bgColor rgb="FFFFE699"/>
      </patternFill>
    </fill>
    <fill>
      <patternFill patternType="solid">
        <fgColor rgb="FF8FAADC"/>
        <bgColor rgb="FF9DC3E6"/>
      </patternFill>
    </fill>
    <fill>
      <patternFill patternType="solid">
        <fgColor rgb="FF1F4E79"/>
        <bgColor rgb="FF2F5496"/>
      </patternFill>
    </fill>
    <fill>
      <patternFill patternType="solid">
        <fgColor rgb="FFFFFFFF"/>
        <bgColor rgb="FFF2F2F2"/>
      </patternFill>
    </fill>
    <fill>
      <patternFill patternType="solid">
        <fgColor rgb="FF5B9BD5"/>
        <bgColor rgb="FF8FAADC"/>
      </patternFill>
    </fill>
    <fill>
      <patternFill patternType="solid">
        <fgColor rgb="FF70AD47"/>
        <bgColor rgb="FFA8D08D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1" fillId="6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177" fontId="19" fillId="0" borderId="0" xfId="0" applyNumberFormat="1" applyFont="1" applyBorder="1" applyAlignment="1">
      <alignment vertical="center"/>
    </xf>
    <xf numFmtId="177" fontId="18" fillId="0" borderId="0" xfId="0" applyNumberFormat="1" applyFont="1" applyBorder="1" applyAlignment="1">
      <alignment horizontal="left" vertical="center"/>
    </xf>
    <xf numFmtId="176" fontId="15" fillId="0" borderId="0" xfId="0" applyNumberFormat="1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4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/>
    <xf numFmtId="0" fontId="0" fillId="0" borderId="0" xfId="0" applyAlignment="1"/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center" vertical="center"/>
    </xf>
    <xf numFmtId="0" fontId="13" fillId="2" borderId="0" xfId="0" applyFont="1" applyFill="1" applyAlignment="1">
      <alignment vertical="center" wrapText="1"/>
    </xf>
    <xf numFmtId="0" fontId="11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178" fontId="25" fillId="3" borderId="1" xfId="0" applyNumberFormat="1" applyFont="1" applyFill="1" applyBorder="1" applyAlignment="1">
      <alignment horizontal="center" vertical="center"/>
    </xf>
    <xf numFmtId="178" fontId="27" fillId="3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 indent="1"/>
    </xf>
    <xf numFmtId="9" fontId="18" fillId="5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 indent="1"/>
    </xf>
    <xf numFmtId="0" fontId="31" fillId="0" borderId="1" xfId="0" applyFont="1" applyBorder="1" applyAlignment="1">
      <alignment horizontal="center" vertical="center"/>
    </xf>
    <xf numFmtId="30" fontId="30" fillId="0" borderId="1" xfId="0" applyNumberFormat="1" applyFont="1" applyBorder="1" applyAlignment="1">
      <alignment horizontal="center" vertical="center"/>
    </xf>
    <xf numFmtId="9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indent="1"/>
    </xf>
    <xf numFmtId="0" fontId="34" fillId="12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0" fontId="34" fillId="15" borderId="1" xfId="0" applyFont="1" applyFill="1" applyBorder="1" applyAlignment="1">
      <alignment horizontal="center" vertical="center"/>
    </xf>
    <xf numFmtId="0" fontId="37" fillId="16" borderId="0" xfId="0" applyFont="1" applyFill="1" applyAlignment="1">
      <alignment horizontal="center" vertical="center" wrapText="1"/>
    </xf>
    <xf numFmtId="0" fontId="20" fillId="16" borderId="0" xfId="0" applyFont="1" applyFill="1" applyAlignment="1">
      <alignment horizontal="center" vertical="center" wrapText="1"/>
    </xf>
    <xf numFmtId="0" fontId="38" fillId="5" borderId="2" xfId="0" applyFont="1" applyFill="1" applyBorder="1" applyAlignment="1">
      <alignment horizontal="center" vertical="center"/>
    </xf>
    <xf numFmtId="0" fontId="38" fillId="5" borderId="2" xfId="0" applyFont="1" applyFill="1" applyBorder="1" applyAlignment="1">
      <alignment horizontal="left" vertical="center"/>
    </xf>
    <xf numFmtId="0" fontId="33" fillId="5" borderId="2" xfId="0" applyFont="1" applyFill="1" applyBorder="1" applyAlignment="1">
      <alignment horizontal="left" vertical="center"/>
    </xf>
    <xf numFmtId="0" fontId="40" fillId="3" borderId="2" xfId="0" applyFont="1" applyFill="1" applyBorder="1" applyAlignment="1">
      <alignment horizontal="center" vertical="center"/>
    </xf>
    <xf numFmtId="0" fontId="41" fillId="3" borderId="2" xfId="0" applyFont="1" applyFill="1" applyBorder="1" applyAlignment="1">
      <alignment horizontal="left" vertical="center"/>
    </xf>
    <xf numFmtId="0" fontId="41" fillId="3" borderId="2" xfId="0" applyFont="1" applyFill="1" applyBorder="1" applyAlignment="1">
      <alignment horizontal="center" vertical="center"/>
    </xf>
    <xf numFmtId="0" fontId="42" fillId="17" borderId="2" xfId="0" applyFont="1" applyFill="1" applyBorder="1" applyAlignment="1">
      <alignment horizontal="center" vertical="center"/>
    </xf>
    <xf numFmtId="0" fontId="43" fillId="17" borderId="2" xfId="0" applyFont="1" applyFill="1" applyBorder="1" applyAlignment="1">
      <alignment horizontal="left" vertical="center"/>
    </xf>
    <xf numFmtId="0" fontId="43" fillId="17" borderId="2" xfId="0" applyFont="1" applyFill="1" applyBorder="1" applyAlignment="1">
      <alignment horizontal="center" vertical="center"/>
    </xf>
    <xf numFmtId="0" fontId="42" fillId="17" borderId="2" xfId="0" applyFont="1" applyFill="1" applyBorder="1" applyAlignment="1">
      <alignment horizontal="left" vertical="center"/>
    </xf>
    <xf numFmtId="0" fontId="40" fillId="3" borderId="2" xfId="0" applyFont="1" applyFill="1" applyBorder="1" applyAlignment="1">
      <alignment horizontal="left" vertical="center"/>
    </xf>
    <xf numFmtId="0" fontId="34" fillId="0" borderId="0" xfId="0" applyFont="1" applyAlignment="1"/>
    <xf numFmtId="0" fontId="46" fillId="0" borderId="0" xfId="0" applyFont="1" applyAlignment="1"/>
    <xf numFmtId="0" fontId="31" fillId="0" borderId="0" xfId="0" applyFont="1" applyAlignment="1"/>
    <xf numFmtId="0" fontId="47" fillId="4" borderId="1" xfId="0" applyFont="1" applyFill="1" applyBorder="1" applyAlignment="1">
      <alignment horizontal="center" vertical="center" wrapText="1"/>
    </xf>
    <xf numFmtId="178" fontId="48" fillId="3" borderId="1" xfId="0" applyNumberFormat="1" applyFont="1" applyFill="1" applyBorder="1" applyAlignment="1">
      <alignment horizontal="center" vertical="center"/>
    </xf>
    <xf numFmtId="179" fontId="30" fillId="0" borderId="1" xfId="0" applyNumberFormat="1" applyFont="1" applyBorder="1" applyAlignment="1">
      <alignment horizontal="center" vertical="center"/>
    </xf>
    <xf numFmtId="1" fontId="30" fillId="0" borderId="1" xfId="0" applyNumberFormat="1" applyFont="1" applyBorder="1" applyAlignment="1">
      <alignment horizontal="center" vertical="center"/>
    </xf>
    <xf numFmtId="0" fontId="26" fillId="3" borderId="0" xfId="0" applyFont="1" applyFill="1" applyBorder="1" applyAlignment="1">
      <alignment horizontal="right" vertical="center"/>
    </xf>
    <xf numFmtId="0" fontId="33" fillId="0" borderId="0" xfId="0" applyFont="1" applyBorder="1" applyAlignment="1"/>
    <xf numFmtId="0" fontId="31" fillId="0" borderId="0" xfId="0" applyFont="1" applyBorder="1" applyAlignment="1">
      <alignment horizontal="left" vertical="center" indent="1"/>
    </xf>
    <xf numFmtId="0" fontId="14" fillId="0" borderId="0" xfId="0" applyFont="1" applyBorder="1" applyAlignment="1"/>
    <xf numFmtId="0" fontId="35" fillId="0" borderId="0" xfId="0" applyFont="1" applyBorder="1" applyAlignment="1"/>
    <xf numFmtId="177" fontId="15" fillId="0" borderId="0" xfId="0" applyNumberFormat="1" applyFont="1" applyBorder="1" applyAlignment="1">
      <alignment vertical="center"/>
    </xf>
    <xf numFmtId="0" fontId="23" fillId="18" borderId="1" xfId="0" applyFont="1" applyFill="1" applyBorder="1" applyAlignment="1">
      <alignment horizontal="center" vertical="center" wrapText="1"/>
    </xf>
    <xf numFmtId="0" fontId="23" fillId="19" borderId="1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0" fillId="0" borderId="4" xfId="0" applyBorder="1"/>
    <xf numFmtId="0" fontId="21" fillId="6" borderId="3" xfId="0" applyFont="1" applyFill="1" applyBorder="1" applyAlignment="1">
      <alignment horizontal="center" vertical="center"/>
    </xf>
    <xf numFmtId="178" fontId="25" fillId="3" borderId="3" xfId="0" applyNumberFormat="1" applyFont="1" applyFill="1" applyBorder="1" applyAlignment="1">
      <alignment horizontal="center" vertical="center"/>
    </xf>
    <xf numFmtId="178" fontId="27" fillId="3" borderId="3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178" fontId="25" fillId="3" borderId="4" xfId="0" applyNumberFormat="1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0" fillId="20" borderId="4" xfId="0" applyFill="1" applyBorder="1"/>
    <xf numFmtId="0" fontId="30" fillId="21" borderId="1" xfId="0" applyFont="1" applyFill="1" applyBorder="1" applyAlignment="1">
      <alignment horizontal="center" vertical="center"/>
    </xf>
    <xf numFmtId="0" fontId="30" fillId="21" borderId="3" xfId="0" applyFont="1" applyFill="1" applyBorder="1" applyAlignment="1">
      <alignment horizontal="center" vertical="center"/>
    </xf>
    <xf numFmtId="0" fontId="0" fillId="21" borderId="4" xfId="0" applyFill="1" applyBorder="1"/>
  </cellXfs>
  <cellStyles count="1">
    <cellStyle name="표준" xfId="0" builtinId="0"/>
  </cellStyles>
  <dxfs count="38"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ill>
        <patternFill>
          <bgColor rgb="FFF8CBAD"/>
        </patternFill>
      </fill>
    </dxf>
    <dxf>
      <fill>
        <patternFill>
          <bgColor rgb="FFB4C7E7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70AD47"/>
        </patternFill>
      </fill>
    </dxf>
    <dxf>
      <fill>
        <patternFill>
          <bgColor rgb="FF4472C4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595959"/>
      <rgbColor rgb="FF8FAADC"/>
      <rgbColor rgb="FF993366"/>
      <rgbColor rgb="FFFFF2CC"/>
      <rgbColor rgb="FFDEEBF7"/>
      <rgbColor rgb="FF660066"/>
      <rgbColor rgb="FFD9D9D9"/>
      <rgbColor rgb="FF2E5C8A"/>
      <rgbColor rgb="FFC5D9EC"/>
      <rgbColor rgb="FF000080"/>
      <rgbColor rgb="FFFF00FF"/>
      <rgbColor rgb="FFCDDFEF"/>
      <rgbColor rgb="FF00FFFF"/>
      <rgbColor rgb="FF800080"/>
      <rgbColor rgb="FF800000"/>
      <rgbColor rgb="FF008080"/>
      <rgbColor rgb="FF0000FF"/>
      <rgbColor rgb="FF00CCFF"/>
      <rgbColor rgb="FFD5E5F4"/>
      <rgbColor rgb="FFF2F2F2"/>
      <rgbColor rgb="FFFFE699"/>
      <rgbColor rgb="FF9DC3E6"/>
      <rgbColor rgb="FFF4B084"/>
      <rgbColor rgb="FFB4C7E7"/>
      <rgbColor rgb="FFF8CBAD"/>
      <rgbColor rgb="FF4472C4"/>
      <rgbColor rgb="FFBDD3E8"/>
      <rgbColor rgb="FFA8D08D"/>
      <rgbColor rgb="FFFFC000"/>
      <rgbColor rgb="FFFF9900"/>
      <rgbColor rgb="FFFF6600"/>
      <rgbColor rgb="FF5B6770"/>
      <rgbColor rgb="FF70AD47"/>
      <rgbColor rgb="FF1F4E79"/>
      <rgbColor rgb="FF5B9BD5"/>
      <rgbColor rgb="FF003300"/>
      <rgbColor rgb="FF375623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C52"/>
  <sheetViews>
    <sheetView showGridLines="0" zoomScaleNormal="100" workbookViewId="0">
      <selection activeCell="C12" sqref="C12"/>
    </sheetView>
  </sheetViews>
  <sheetFormatPr defaultColWidth="8.5703125" defaultRowHeight="15"/>
  <cols>
    <col min="1" max="1" width="3" style="13" customWidth="1"/>
    <col min="2" max="2" width="22" style="13" customWidth="1"/>
    <col min="3" max="3" width="80" style="13" customWidth="1"/>
  </cols>
  <sheetData>
    <row r="2" spans="2:3" ht="36" customHeight="1">
      <c r="B2" s="12" t="s">
        <v>0</v>
      </c>
      <c r="C2" s="12"/>
    </row>
    <row r="3" spans="2:3" ht="16.5" customHeight="1">
      <c r="B3" s="11" t="s">
        <v>1</v>
      </c>
      <c r="C3" s="11"/>
    </row>
    <row r="5" spans="2:3" ht="24" customHeight="1">
      <c r="B5" s="10" t="s">
        <v>2</v>
      </c>
      <c r="C5" s="10"/>
    </row>
    <row r="6" spans="2:3" ht="19.5" customHeight="1">
      <c r="B6" s="14"/>
      <c r="C6" s="15" t="s">
        <v>3</v>
      </c>
    </row>
    <row r="7" spans="2:3" ht="19.5" customHeight="1">
      <c r="B7" s="14"/>
      <c r="C7" s="16" t="s">
        <v>4</v>
      </c>
    </row>
    <row r="8" spans="2:3" ht="19.5" customHeight="1">
      <c r="B8" s="14"/>
      <c r="C8" s="16" t="s">
        <v>5</v>
      </c>
    </row>
    <row r="10" spans="2:3" ht="24" customHeight="1">
      <c r="B10" s="10" t="s">
        <v>6</v>
      </c>
      <c r="C10" s="10"/>
    </row>
    <row r="11" spans="2:3" ht="19.5" customHeight="1">
      <c r="B11" s="14" t="s">
        <v>7</v>
      </c>
      <c r="C11" s="15" t="s">
        <v>8</v>
      </c>
    </row>
    <row r="12" spans="2:3" ht="19.5" customHeight="1">
      <c r="B12" s="14" t="s">
        <v>9</v>
      </c>
      <c r="C12" s="16" t="s">
        <v>10</v>
      </c>
    </row>
    <row r="13" spans="2:3" ht="19.5" customHeight="1">
      <c r="B13" s="14" t="s">
        <v>11</v>
      </c>
      <c r="C13" s="16" t="s">
        <v>12</v>
      </c>
    </row>
    <row r="14" spans="2:3" ht="19.5" customHeight="1">
      <c r="B14" s="14" t="s">
        <v>13</v>
      </c>
      <c r="C14" s="15" t="s">
        <v>14</v>
      </c>
    </row>
    <row r="15" spans="2:3" ht="19.5" customHeight="1">
      <c r="B15" s="14" t="s">
        <v>15</v>
      </c>
      <c r="C15" s="16" t="s">
        <v>16</v>
      </c>
    </row>
    <row r="16" spans="2:3" ht="19.5" customHeight="1">
      <c r="B16" s="14" t="s">
        <v>17</v>
      </c>
      <c r="C16" s="16" t="s">
        <v>18</v>
      </c>
    </row>
    <row r="17" spans="2:3" ht="19.5" customHeight="1">
      <c r="B17" s="14" t="s">
        <v>19</v>
      </c>
      <c r="C17" s="15" t="s">
        <v>20</v>
      </c>
    </row>
    <row r="19" spans="2:3" ht="24" customHeight="1">
      <c r="B19" s="10" t="s">
        <v>21</v>
      </c>
      <c r="C19" s="10"/>
    </row>
    <row r="20" spans="2:3" ht="19.5" customHeight="1">
      <c r="B20" s="14" t="s">
        <v>22</v>
      </c>
      <c r="C20" s="16" t="s">
        <v>23</v>
      </c>
    </row>
    <row r="21" spans="2:3" ht="19.5" customHeight="1">
      <c r="B21" s="17" t="s">
        <v>24</v>
      </c>
      <c r="C21" s="16" t="s">
        <v>25</v>
      </c>
    </row>
    <row r="22" spans="2:3" ht="19.5" customHeight="1">
      <c r="B22" s="17" t="s">
        <v>26</v>
      </c>
      <c r="C22" s="16" t="s">
        <v>27</v>
      </c>
    </row>
    <row r="23" spans="2:3" ht="19.5" customHeight="1">
      <c r="B23" s="17" t="s">
        <v>28</v>
      </c>
      <c r="C23" s="15" t="s">
        <v>29</v>
      </c>
    </row>
    <row r="24" spans="2:3" ht="19.5" customHeight="1">
      <c r="B24" s="17" t="s">
        <v>30</v>
      </c>
      <c r="C24" s="16" t="s">
        <v>31</v>
      </c>
    </row>
    <row r="25" spans="2:3" ht="19.5" customHeight="1">
      <c r="B25" s="17" t="s">
        <v>32</v>
      </c>
      <c r="C25" s="15" t="s">
        <v>33</v>
      </c>
    </row>
    <row r="26" spans="2:3" ht="19.5" customHeight="1">
      <c r="B26" s="17" t="s">
        <v>34</v>
      </c>
      <c r="C26" s="16" t="s">
        <v>35</v>
      </c>
    </row>
    <row r="27" spans="2:3" ht="19.5" customHeight="1">
      <c r="B27" s="17" t="s">
        <v>36</v>
      </c>
      <c r="C27" s="16" t="s">
        <v>37</v>
      </c>
    </row>
    <row r="29" spans="2:3" ht="24" customHeight="1">
      <c r="B29" s="10" t="s">
        <v>38</v>
      </c>
      <c r="C29" s="10"/>
    </row>
    <row r="30" spans="2:3" ht="19.5" customHeight="1">
      <c r="B30" s="17" t="s">
        <v>39</v>
      </c>
      <c r="C30" s="16" t="s">
        <v>40</v>
      </c>
    </row>
    <row r="31" spans="2:3" ht="19.5" customHeight="1">
      <c r="B31" s="17" t="s">
        <v>41</v>
      </c>
      <c r="C31" s="16" t="s">
        <v>42</v>
      </c>
    </row>
    <row r="32" spans="2:3" ht="19.5" customHeight="1">
      <c r="B32" s="17" t="s">
        <v>43</v>
      </c>
      <c r="C32" s="16" t="s">
        <v>44</v>
      </c>
    </row>
    <row r="33" spans="2:3" ht="19.5" customHeight="1">
      <c r="B33" s="17" t="s">
        <v>45</v>
      </c>
      <c r="C33" s="16" t="s">
        <v>46</v>
      </c>
    </row>
    <row r="34" spans="2:3" ht="19.5" customHeight="1">
      <c r="B34" s="17" t="s">
        <v>47</v>
      </c>
      <c r="C34" s="16" t="s">
        <v>48</v>
      </c>
    </row>
    <row r="36" spans="2:3" ht="24" customHeight="1">
      <c r="B36" s="10" t="s">
        <v>49</v>
      </c>
      <c r="C36" s="10"/>
    </row>
    <row r="37" spans="2:3" ht="19.5" customHeight="1">
      <c r="B37" s="14" t="s">
        <v>50</v>
      </c>
      <c r="C37" s="15" t="s">
        <v>51</v>
      </c>
    </row>
    <row r="38" spans="2:3" ht="19.5" customHeight="1">
      <c r="B38" s="14" t="s">
        <v>50</v>
      </c>
      <c r="C38" s="16" t="s">
        <v>52</v>
      </c>
    </row>
    <row r="39" spans="2:3" ht="19.5" customHeight="1">
      <c r="B39" s="14" t="s">
        <v>50</v>
      </c>
      <c r="C39" s="16" t="s">
        <v>53</v>
      </c>
    </row>
    <row r="40" spans="2:3" ht="19.5" customHeight="1">
      <c r="B40" s="14" t="s">
        <v>54</v>
      </c>
      <c r="C40" s="16" t="s">
        <v>55</v>
      </c>
    </row>
    <row r="41" spans="2:3" ht="19.5" customHeight="1">
      <c r="B41" s="14" t="s">
        <v>54</v>
      </c>
      <c r="C41" s="16" t="s">
        <v>56</v>
      </c>
    </row>
    <row r="42" spans="2:3" ht="19.5" customHeight="1">
      <c r="B42" s="14" t="s">
        <v>54</v>
      </c>
      <c r="C42" s="16" t="s">
        <v>57</v>
      </c>
    </row>
    <row r="44" spans="2:3" ht="24" customHeight="1">
      <c r="B44" s="10" t="s">
        <v>58</v>
      </c>
      <c r="C44" s="10"/>
    </row>
    <row r="45" spans="2:3" ht="19.5" customHeight="1">
      <c r="B45" s="14" t="s">
        <v>59</v>
      </c>
      <c r="C45" s="16" t="s">
        <v>60</v>
      </c>
    </row>
    <row r="46" spans="2:3" ht="19.5" customHeight="1">
      <c r="B46" s="14" t="s">
        <v>59</v>
      </c>
      <c r="C46" s="16" t="s">
        <v>61</v>
      </c>
    </row>
    <row r="47" spans="2:3" ht="19.5" customHeight="1">
      <c r="B47" s="14" t="s">
        <v>59</v>
      </c>
      <c r="C47" s="15" t="s">
        <v>62</v>
      </c>
    </row>
    <row r="48" spans="2:3" ht="19.5" customHeight="1">
      <c r="B48" s="14" t="s">
        <v>59</v>
      </c>
      <c r="C48" s="15" t="s">
        <v>63</v>
      </c>
    </row>
    <row r="49" spans="2:3" ht="19.5" customHeight="1">
      <c r="B49" s="14" t="s">
        <v>59</v>
      </c>
      <c r="C49" s="15" t="s">
        <v>64</v>
      </c>
    </row>
    <row r="52" spans="2:3" ht="49.5" customHeight="1">
      <c r="B52" s="18" t="s">
        <v>65</v>
      </c>
      <c r="C52" s="19" t="s">
        <v>66</v>
      </c>
    </row>
  </sheetData>
  <mergeCells count="8">
    <mergeCell ref="B29:C29"/>
    <mergeCell ref="B36:C36"/>
    <mergeCell ref="B44:C44"/>
    <mergeCell ref="B2:C2"/>
    <mergeCell ref="B3:C3"/>
    <mergeCell ref="B5:C5"/>
    <mergeCell ref="B10:C10"/>
    <mergeCell ref="B19:C19"/>
  </mergeCells>
  <phoneticPr fontId="49" type="noConversion"/>
  <pageMargins left="0.4" right="0.4" top="0.5" bottom="0.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42"/>
  <sheetViews>
    <sheetView showGridLines="0" zoomScaleNormal="10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S17" sqref="S17"/>
    </sheetView>
  </sheetViews>
  <sheetFormatPr defaultColWidth="8.5703125" defaultRowHeight="15"/>
  <cols>
    <col min="1" max="1" width="8" style="13" customWidth="1"/>
    <col min="2" max="2" width="32" style="13" customWidth="1"/>
    <col min="3" max="3" width="11" style="13" customWidth="1"/>
    <col min="4" max="5" width="12" style="13" customWidth="1"/>
    <col min="6" max="6" width="7" style="13" customWidth="1"/>
    <col min="7" max="7" width="8" style="13" customWidth="1"/>
    <col min="8" max="9" width="11" style="13" customWidth="1"/>
    <col min="10" max="23" width="5" style="13" bestFit="1" customWidth="1"/>
    <col min="24" max="30" width="5" bestFit="1" customWidth="1"/>
    <col min="31" max="39" width="4.140625" bestFit="1" customWidth="1"/>
    <col min="40" max="55" width="5" bestFit="1" customWidth="1"/>
  </cols>
  <sheetData>
    <row r="1" spans="1:55" ht="31.5" customHeight="1">
      <c r="A1" s="9" t="s">
        <v>67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3" spans="1:55" ht="16.5" customHeight="1">
      <c r="A3" s="20" t="s">
        <v>68</v>
      </c>
      <c r="B3" s="8" t="s">
        <v>69</v>
      </c>
      <c r="C3" s="8"/>
      <c r="D3" s="8"/>
      <c r="E3" s="8"/>
      <c r="F3" s="8"/>
      <c r="G3" s="20" t="s">
        <v>70</v>
      </c>
      <c r="H3" s="7" t="s">
        <v>71</v>
      </c>
      <c r="I3" s="7"/>
    </row>
    <row r="4" spans="1:55" ht="16.5" customHeight="1">
      <c r="A4" s="20" t="s">
        <v>72</v>
      </c>
      <c r="B4" s="7" t="s">
        <v>73</v>
      </c>
      <c r="C4" s="7"/>
      <c r="D4" s="7"/>
      <c r="E4" s="7"/>
      <c r="F4" s="7"/>
      <c r="G4" s="20" t="s">
        <v>74</v>
      </c>
      <c r="H4" s="6">
        <v>46153</v>
      </c>
      <c r="I4" s="6"/>
    </row>
    <row r="5" spans="1:55" ht="16.5" customHeight="1">
      <c r="A5" s="21" t="s">
        <v>75</v>
      </c>
      <c r="B5" s="5">
        <v>46153</v>
      </c>
      <c r="C5" s="5"/>
      <c r="D5" s="21" t="s">
        <v>76</v>
      </c>
      <c r="E5" s="5">
        <f>IF(B5="","",B5+45)</f>
        <v>46198</v>
      </c>
      <c r="F5" s="5"/>
      <c r="G5" s="20" t="s">
        <v>77</v>
      </c>
      <c r="H5" s="4">
        <f ca="1">TODAY()</f>
        <v>46150</v>
      </c>
      <c r="I5" s="4"/>
    </row>
    <row r="7" spans="1:55" ht="21.75" customHeight="1">
      <c r="A7" s="3" t="s">
        <v>78</v>
      </c>
      <c r="B7" s="3"/>
      <c r="C7" s="3"/>
      <c r="D7" s="3"/>
      <c r="E7" s="3"/>
      <c r="F7" s="3"/>
      <c r="G7" s="3"/>
      <c r="H7" s="3"/>
      <c r="I7" s="3"/>
      <c r="J7" s="2" t="s">
        <v>79</v>
      </c>
      <c r="K7" s="2"/>
      <c r="L7" s="2"/>
      <c r="M7" s="2"/>
      <c r="N7" s="2"/>
      <c r="O7" s="2"/>
      <c r="P7" s="2"/>
      <c r="Q7" s="1" t="s">
        <v>80</v>
      </c>
      <c r="R7" s="1"/>
      <c r="S7" s="1"/>
      <c r="T7" s="1"/>
      <c r="U7" s="1"/>
      <c r="V7" s="1"/>
      <c r="W7" s="71"/>
      <c r="X7" s="74" t="s">
        <v>81</v>
      </c>
      <c r="Y7" s="74"/>
      <c r="Z7" s="74"/>
      <c r="AA7" s="74"/>
      <c r="AB7" s="74"/>
      <c r="AC7" s="74"/>
      <c r="AD7" s="74"/>
      <c r="AE7" s="75" t="s">
        <v>82</v>
      </c>
      <c r="AF7" s="75"/>
      <c r="AG7" s="75"/>
      <c r="AH7" s="75"/>
      <c r="AI7" s="75"/>
      <c r="AJ7" s="75"/>
      <c r="AK7" s="75"/>
      <c r="AL7" s="76" t="s">
        <v>83</v>
      </c>
      <c r="AM7" s="76"/>
      <c r="AN7" s="76"/>
      <c r="AO7" s="76"/>
      <c r="AP7" s="76"/>
      <c r="AQ7" s="76"/>
      <c r="AR7" s="76"/>
      <c r="AS7" s="77" t="s">
        <v>84</v>
      </c>
      <c r="AT7" s="77"/>
      <c r="AU7" s="77"/>
      <c r="AV7" s="77"/>
      <c r="AW7" s="77"/>
      <c r="AX7" s="77"/>
      <c r="AY7" s="78" t="s">
        <v>85</v>
      </c>
      <c r="AZ7" s="78"/>
      <c r="BA7" s="78"/>
      <c r="BB7" s="78"/>
      <c r="BC7" s="78"/>
    </row>
    <row r="8" spans="1:55" ht="18" customHeight="1">
      <c r="A8" s="23" t="s">
        <v>86</v>
      </c>
      <c r="B8" s="22" t="s">
        <v>24</v>
      </c>
      <c r="C8" s="22" t="s">
        <v>26</v>
      </c>
      <c r="D8" s="22" t="s">
        <v>87</v>
      </c>
      <c r="E8" s="22" t="s">
        <v>88</v>
      </c>
      <c r="F8" s="22" t="s">
        <v>89</v>
      </c>
      <c r="G8" s="22" t="s">
        <v>32</v>
      </c>
      <c r="H8" s="22" t="s">
        <v>34</v>
      </c>
      <c r="I8" s="22" t="s">
        <v>36</v>
      </c>
      <c r="J8" s="24">
        <f>$B$5+0</f>
        <v>46153</v>
      </c>
      <c r="K8" s="24">
        <f>$B$5+1</f>
        <v>46154</v>
      </c>
      <c r="L8" s="24">
        <f>$B$5+2</f>
        <v>46155</v>
      </c>
      <c r="M8" s="24">
        <f>$B$5+3</f>
        <v>46156</v>
      </c>
      <c r="N8" s="24">
        <f>$B$5+4</f>
        <v>46157</v>
      </c>
      <c r="O8" s="24">
        <f>$B$5+5</f>
        <v>46158</v>
      </c>
      <c r="P8" s="24">
        <f>$B$5+6</f>
        <v>46159</v>
      </c>
      <c r="Q8" s="24">
        <f>$B$5+7</f>
        <v>46160</v>
      </c>
      <c r="R8" s="24">
        <f>$B$5+8</f>
        <v>46161</v>
      </c>
      <c r="S8" s="24">
        <f>$B$5+9</f>
        <v>46162</v>
      </c>
      <c r="T8" s="24">
        <f>$B$5+10</f>
        <v>46163</v>
      </c>
      <c r="U8" s="24">
        <f>$B$5+11</f>
        <v>46164</v>
      </c>
      <c r="V8" s="24">
        <f>$B$5+12</f>
        <v>46165</v>
      </c>
      <c r="W8" s="72">
        <f>$B$5+13</f>
        <v>46166</v>
      </c>
      <c r="X8" s="79">
        <f>$B$5+14</f>
        <v>46167</v>
      </c>
      <c r="Y8" s="79">
        <f>$B$5+15</f>
        <v>46168</v>
      </c>
      <c r="Z8" s="79">
        <f>$B$5+16</f>
        <v>46169</v>
      </c>
      <c r="AA8" s="79">
        <f>$B$5+17</f>
        <v>46170</v>
      </c>
      <c r="AB8" s="79">
        <f>$B$5+18</f>
        <v>46171</v>
      </c>
      <c r="AC8" s="79">
        <f>$B$5+19</f>
        <v>46172</v>
      </c>
      <c r="AD8" s="79">
        <f>$B$5+20</f>
        <v>46173</v>
      </c>
      <c r="AE8" s="79">
        <f>$B$5+21</f>
        <v>46174</v>
      </c>
      <c r="AF8" s="79">
        <f>$B$5+22</f>
        <v>46175</v>
      </c>
      <c r="AG8" s="79">
        <f>$B$5+23</f>
        <v>46176</v>
      </c>
      <c r="AH8" s="79">
        <f>$B$5+24</f>
        <v>46177</v>
      </c>
      <c r="AI8" s="79">
        <f>$B$5+25</f>
        <v>46178</v>
      </c>
      <c r="AJ8" s="79">
        <f>$B$5+26</f>
        <v>46179</v>
      </c>
      <c r="AK8" s="79">
        <f>$B$5+27</f>
        <v>46180</v>
      </c>
      <c r="AL8" s="79">
        <f>$B$5+28</f>
        <v>46181</v>
      </c>
      <c r="AM8" s="79">
        <f>$B$5+29</f>
        <v>46182</v>
      </c>
      <c r="AN8" s="79">
        <f>$B$5+30</f>
        <v>46183</v>
      </c>
      <c r="AO8" s="79">
        <f>$B$5+31</f>
        <v>46184</v>
      </c>
      <c r="AP8" s="79">
        <f>$B$5+32</f>
        <v>46185</v>
      </c>
      <c r="AQ8" s="79">
        <f>$B$5+33</f>
        <v>46186</v>
      </c>
      <c r="AR8" s="79">
        <f>$B$5+34</f>
        <v>46187</v>
      </c>
      <c r="AS8" s="79">
        <f>$B$5+35</f>
        <v>46188</v>
      </c>
      <c r="AT8" s="79">
        <f>$B$5+36</f>
        <v>46189</v>
      </c>
      <c r="AU8" s="79">
        <f>$B$5+37</f>
        <v>46190</v>
      </c>
      <c r="AV8" s="79">
        <f>$B$5+38</f>
        <v>46191</v>
      </c>
      <c r="AW8" s="79">
        <f>$B$5+39</f>
        <v>46192</v>
      </c>
      <c r="AX8" s="79">
        <f>$B$5+40</f>
        <v>46193</v>
      </c>
      <c r="AY8" s="79">
        <f>$B$5+41</f>
        <v>46194</v>
      </c>
      <c r="AZ8" s="79">
        <f>$B$5+42</f>
        <v>46195</v>
      </c>
      <c r="BA8" s="79">
        <f>$B$5+43</f>
        <v>46196</v>
      </c>
      <c r="BB8" s="79">
        <f>$B$5+44</f>
        <v>46197</v>
      </c>
      <c r="BC8" s="79">
        <f>$B$5+45</f>
        <v>46198</v>
      </c>
    </row>
    <row r="9" spans="1:55" ht="18" customHeight="1">
      <c r="A9" s="60" t="s">
        <v>90</v>
      </c>
      <c r="B9" s="60"/>
      <c r="C9" s="60"/>
      <c r="D9" s="60"/>
      <c r="E9" s="60"/>
      <c r="F9" s="60"/>
      <c r="G9" s="60"/>
      <c r="H9" s="60"/>
      <c r="I9" s="60"/>
      <c r="J9" s="25" t="str">
        <f t="shared" ref="J9:BC9" si="0">CHOOSE(WEEKDAY(J8,2),"월","화","수","목","금","토","일")</f>
        <v>월</v>
      </c>
      <c r="K9" s="25" t="str">
        <f t="shared" si="0"/>
        <v>화</v>
      </c>
      <c r="L9" s="25" t="str">
        <f t="shared" si="0"/>
        <v>수</v>
      </c>
      <c r="M9" s="25" t="str">
        <f t="shared" si="0"/>
        <v>목</v>
      </c>
      <c r="N9" s="25" t="str">
        <f t="shared" si="0"/>
        <v>금</v>
      </c>
      <c r="O9" s="25" t="str">
        <f t="shared" si="0"/>
        <v>토</v>
      </c>
      <c r="P9" s="25" t="str">
        <f t="shared" si="0"/>
        <v>일</v>
      </c>
      <c r="Q9" s="25" t="str">
        <f t="shared" si="0"/>
        <v>월</v>
      </c>
      <c r="R9" s="25" t="str">
        <f t="shared" si="0"/>
        <v>화</v>
      </c>
      <c r="S9" s="25" t="str">
        <f t="shared" si="0"/>
        <v>수</v>
      </c>
      <c r="T9" s="25" t="str">
        <f t="shared" si="0"/>
        <v>목</v>
      </c>
      <c r="U9" s="25" t="str">
        <f t="shared" si="0"/>
        <v>금</v>
      </c>
      <c r="V9" s="25" t="str">
        <f t="shared" si="0"/>
        <v>토</v>
      </c>
      <c r="W9" s="73" t="str">
        <f t="shared" si="0"/>
        <v>일</v>
      </c>
      <c r="X9" s="80" t="str">
        <f t="shared" si="0"/>
        <v>월</v>
      </c>
      <c r="Y9" s="80" t="str">
        <f t="shared" si="0"/>
        <v>화</v>
      </c>
      <c r="Z9" s="80" t="str">
        <f t="shared" si="0"/>
        <v>수</v>
      </c>
      <c r="AA9" s="80" t="str">
        <f t="shared" si="0"/>
        <v>목</v>
      </c>
      <c r="AB9" s="80" t="str">
        <f t="shared" si="0"/>
        <v>금</v>
      </c>
      <c r="AC9" s="80" t="str">
        <f t="shared" si="0"/>
        <v>토</v>
      </c>
      <c r="AD9" s="80" t="str">
        <f t="shared" si="0"/>
        <v>일</v>
      </c>
      <c r="AE9" s="80" t="str">
        <f t="shared" si="0"/>
        <v>월</v>
      </c>
      <c r="AF9" s="80" t="str">
        <f t="shared" si="0"/>
        <v>화</v>
      </c>
      <c r="AG9" s="80" t="str">
        <f t="shared" si="0"/>
        <v>수</v>
      </c>
      <c r="AH9" s="80" t="str">
        <f t="shared" si="0"/>
        <v>목</v>
      </c>
      <c r="AI9" s="80" t="str">
        <f t="shared" si="0"/>
        <v>금</v>
      </c>
      <c r="AJ9" s="80" t="str">
        <f t="shared" si="0"/>
        <v>토</v>
      </c>
      <c r="AK9" s="80" t="str">
        <f t="shared" si="0"/>
        <v>일</v>
      </c>
      <c r="AL9" s="80" t="str">
        <f t="shared" si="0"/>
        <v>월</v>
      </c>
      <c r="AM9" s="80" t="str">
        <f t="shared" si="0"/>
        <v>화</v>
      </c>
      <c r="AN9" s="80" t="str">
        <f t="shared" si="0"/>
        <v>수</v>
      </c>
      <c r="AO9" s="80" t="str">
        <f t="shared" si="0"/>
        <v>목</v>
      </c>
      <c r="AP9" s="80" t="str">
        <f t="shared" si="0"/>
        <v>금</v>
      </c>
      <c r="AQ9" s="80" t="str">
        <f t="shared" si="0"/>
        <v>토</v>
      </c>
      <c r="AR9" s="80" t="str">
        <f t="shared" si="0"/>
        <v>일</v>
      </c>
      <c r="AS9" s="80" t="str">
        <f t="shared" si="0"/>
        <v>월</v>
      </c>
      <c r="AT9" s="80" t="str">
        <f t="shared" si="0"/>
        <v>화</v>
      </c>
      <c r="AU9" s="80" t="str">
        <f t="shared" si="0"/>
        <v>수</v>
      </c>
      <c r="AV9" s="80" t="str">
        <f t="shared" si="0"/>
        <v>목</v>
      </c>
      <c r="AW9" s="80" t="str">
        <f t="shared" si="0"/>
        <v>금</v>
      </c>
      <c r="AX9" s="80" t="str">
        <f t="shared" si="0"/>
        <v>토</v>
      </c>
      <c r="AY9" s="80" t="str">
        <f t="shared" si="0"/>
        <v>일</v>
      </c>
      <c r="AZ9" s="80" t="str">
        <f t="shared" si="0"/>
        <v>월</v>
      </c>
      <c r="BA9" s="80" t="str">
        <f t="shared" si="0"/>
        <v>화</v>
      </c>
      <c r="BB9" s="80" t="str">
        <f t="shared" si="0"/>
        <v>수</v>
      </c>
      <c r="BC9" s="80" t="str">
        <f t="shared" si="0"/>
        <v>목</v>
      </c>
    </row>
    <row r="10" spans="1:55" ht="21.75" customHeight="1">
      <c r="A10" s="26" t="s">
        <v>91</v>
      </c>
      <c r="B10" s="27" t="s">
        <v>92</v>
      </c>
      <c r="C10" s="26"/>
      <c r="D10" s="26"/>
      <c r="E10" s="26"/>
      <c r="F10" s="26"/>
      <c r="G10" s="28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68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</row>
    <row r="11" spans="1:55" ht="21.75" customHeight="1">
      <c r="A11" s="29" t="s">
        <v>93</v>
      </c>
      <c r="B11" s="30" t="s">
        <v>94</v>
      </c>
      <c r="C11" s="31" t="s">
        <v>95</v>
      </c>
      <c r="D11" s="32">
        <f>$B$5+0</f>
        <v>46153</v>
      </c>
      <c r="E11" s="32">
        <f>$B$5+3</f>
        <v>46156</v>
      </c>
      <c r="F11" s="29">
        <f>IF(AND(D11&lt;&gt;"",E11&lt;&gt;""),E11-D11+1,"")</f>
        <v>4</v>
      </c>
      <c r="G11" s="33">
        <v>0</v>
      </c>
      <c r="H11" s="31" t="s">
        <v>96</v>
      </c>
      <c r="I11" s="29"/>
      <c r="J11" s="82"/>
      <c r="K11" s="82"/>
      <c r="L11" s="82"/>
      <c r="M11" s="82"/>
      <c r="N11" s="29"/>
      <c r="O11" s="29"/>
      <c r="P11" s="29"/>
      <c r="Q11" s="29"/>
      <c r="R11" s="29"/>
      <c r="S11" s="29"/>
      <c r="T11" s="29"/>
      <c r="U11" s="29"/>
      <c r="V11" s="29"/>
      <c r="W11" s="69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</row>
    <row r="12" spans="1:55" ht="21.75" customHeight="1">
      <c r="A12" s="29" t="s">
        <v>97</v>
      </c>
      <c r="B12" s="34" t="s">
        <v>98</v>
      </c>
      <c r="C12" s="31" t="s">
        <v>95</v>
      </c>
      <c r="D12" s="32">
        <f>$B$5+1</f>
        <v>46154</v>
      </c>
      <c r="E12" s="32">
        <f>$B$5+4</f>
        <v>46157</v>
      </c>
      <c r="F12" s="29">
        <f>IF(AND(D12&lt;&gt;"",E12&lt;&gt;""),E12-D12+1,"")</f>
        <v>4</v>
      </c>
      <c r="G12" s="33">
        <v>0</v>
      </c>
      <c r="H12" s="31" t="s">
        <v>96</v>
      </c>
      <c r="I12" s="29" t="s">
        <v>93</v>
      </c>
      <c r="J12" s="29"/>
      <c r="K12" s="82"/>
      <c r="L12" s="82"/>
      <c r="M12" s="82"/>
      <c r="N12" s="82"/>
      <c r="O12" s="29"/>
      <c r="P12" s="29"/>
      <c r="Q12" s="29"/>
      <c r="R12" s="29"/>
      <c r="S12" s="29"/>
      <c r="T12" s="29"/>
      <c r="U12" s="29"/>
      <c r="V12" s="29"/>
      <c r="W12" s="69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</row>
    <row r="13" spans="1:55" ht="21.75" customHeight="1">
      <c r="A13" s="29" t="s">
        <v>99</v>
      </c>
      <c r="B13" s="34" t="s">
        <v>100</v>
      </c>
      <c r="C13" s="31" t="s">
        <v>95</v>
      </c>
      <c r="D13" s="32">
        <f>$B$5+2</f>
        <v>46155</v>
      </c>
      <c r="E13" s="32">
        <f>$B$5+5</f>
        <v>46158</v>
      </c>
      <c r="F13" s="29">
        <f>IF(AND(D13&lt;&gt;"",E13&lt;&gt;""),E13-D13+1,"")</f>
        <v>4</v>
      </c>
      <c r="G13" s="33">
        <v>0</v>
      </c>
      <c r="H13" s="31" t="s">
        <v>96</v>
      </c>
      <c r="I13" s="29" t="s">
        <v>93</v>
      </c>
      <c r="J13" s="29"/>
      <c r="K13" s="29"/>
      <c r="L13" s="82"/>
      <c r="M13" s="82"/>
      <c r="N13" s="82"/>
      <c r="O13" s="82"/>
      <c r="P13" s="29"/>
      <c r="Q13" s="29"/>
      <c r="R13" s="29"/>
      <c r="S13" s="29"/>
      <c r="T13" s="29"/>
      <c r="U13" s="29"/>
      <c r="V13" s="29"/>
      <c r="W13" s="69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</row>
    <row r="14" spans="1:55" ht="21.75" customHeight="1">
      <c r="A14" s="29" t="s">
        <v>101</v>
      </c>
      <c r="B14" s="30" t="s">
        <v>102</v>
      </c>
      <c r="C14" s="31" t="s">
        <v>103</v>
      </c>
      <c r="D14" s="32">
        <f>$B$5+1</f>
        <v>46154</v>
      </c>
      <c r="E14" s="32">
        <f>$B$5+6</f>
        <v>46159</v>
      </c>
      <c r="F14" s="29">
        <f>IF(AND(D14&lt;&gt;"",E14&lt;&gt;""),E14-D14+1,"")</f>
        <v>6</v>
      </c>
      <c r="G14" s="33">
        <v>0</v>
      </c>
      <c r="H14" s="31" t="s">
        <v>96</v>
      </c>
      <c r="I14" s="29" t="s">
        <v>93</v>
      </c>
      <c r="J14" s="29"/>
      <c r="K14" s="82"/>
      <c r="L14" s="82"/>
      <c r="M14" s="82"/>
      <c r="N14" s="82"/>
      <c r="O14" s="82"/>
      <c r="P14" s="82"/>
      <c r="Q14" s="29"/>
      <c r="R14" s="29"/>
      <c r="S14" s="29"/>
      <c r="T14" s="29"/>
      <c r="U14" s="29"/>
      <c r="V14" s="29"/>
      <c r="W14" s="69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</row>
    <row r="15" spans="1:55" ht="21.75" customHeight="1">
      <c r="A15" s="26" t="s">
        <v>104</v>
      </c>
      <c r="B15" s="27" t="s">
        <v>105</v>
      </c>
      <c r="C15" s="26"/>
      <c r="D15" s="26"/>
      <c r="E15" s="26"/>
      <c r="F15" s="26"/>
      <c r="G15" s="28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68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</row>
    <row r="16" spans="1:55" ht="21.75" customHeight="1">
      <c r="A16" s="29" t="s">
        <v>106</v>
      </c>
      <c r="B16" s="34" t="s">
        <v>107</v>
      </c>
      <c r="C16" s="31" t="s">
        <v>95</v>
      </c>
      <c r="D16" s="32">
        <f>$B$5+7</f>
        <v>46160</v>
      </c>
      <c r="E16" s="32">
        <f>$B$5+11</f>
        <v>46164</v>
      </c>
      <c r="F16" s="29">
        <f>IF(AND(D16&lt;&gt;"",E16&lt;&gt;""),E16-D16+1,"")</f>
        <v>5</v>
      </c>
      <c r="G16" s="33">
        <v>0</v>
      </c>
      <c r="H16" s="31" t="s">
        <v>96</v>
      </c>
      <c r="I16" s="29" t="s">
        <v>97</v>
      </c>
      <c r="J16" s="29"/>
      <c r="K16" s="29"/>
      <c r="L16" s="29"/>
      <c r="M16" s="29"/>
      <c r="N16" s="29"/>
      <c r="O16" s="29"/>
      <c r="P16" s="29"/>
      <c r="Q16" s="82"/>
      <c r="R16" s="82"/>
      <c r="S16" s="82"/>
      <c r="T16" s="82"/>
      <c r="U16" s="82"/>
      <c r="V16" s="29"/>
      <c r="W16" s="69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</row>
    <row r="17" spans="1:55" ht="21.75" customHeight="1">
      <c r="A17" s="29" t="s">
        <v>108</v>
      </c>
      <c r="B17" s="30" t="s">
        <v>109</v>
      </c>
      <c r="C17" s="31" t="s">
        <v>95</v>
      </c>
      <c r="D17" s="32">
        <f>$B$5+11</f>
        <v>46164</v>
      </c>
      <c r="E17" s="32">
        <f>$B$5+18</f>
        <v>46171</v>
      </c>
      <c r="F17" s="29">
        <f>IF(AND(D17&lt;&gt;"",E17&lt;&gt;""),E17-D17+1,"")</f>
        <v>8</v>
      </c>
      <c r="G17" s="33">
        <v>0</v>
      </c>
      <c r="H17" s="31" t="s">
        <v>96</v>
      </c>
      <c r="I17" s="29" t="s">
        <v>110</v>
      </c>
      <c r="J17" s="29"/>
      <c r="K17" s="29"/>
      <c r="L17" s="29"/>
      <c r="M17" s="29"/>
      <c r="N17" s="29"/>
      <c r="O17" s="29"/>
      <c r="P17" s="29"/>
      <c r="Q17" s="29"/>
      <c r="R17" s="29"/>
      <c r="S17" s="29" t="s">
        <v>482</v>
      </c>
      <c r="T17" s="29"/>
      <c r="U17" s="82"/>
      <c r="V17" s="82"/>
      <c r="W17" s="83"/>
      <c r="X17" s="84"/>
      <c r="Y17" s="84"/>
      <c r="Z17" s="84"/>
      <c r="AA17" s="84"/>
      <c r="AB17" s="84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</row>
    <row r="18" spans="1:55" ht="21.75" customHeight="1">
      <c r="A18" s="29" t="s">
        <v>111</v>
      </c>
      <c r="B18" s="30" t="s">
        <v>112</v>
      </c>
      <c r="C18" s="31" t="s">
        <v>95</v>
      </c>
      <c r="D18" s="32">
        <f>$B$5+18</f>
        <v>46171</v>
      </c>
      <c r="E18" s="32">
        <f>$B$5+28</f>
        <v>46181</v>
      </c>
      <c r="F18" s="29">
        <f>IF(AND(D18&lt;&gt;"",E18&lt;&gt;""),E18-D18+1,"")</f>
        <v>11</v>
      </c>
      <c r="G18" s="33">
        <v>0</v>
      </c>
      <c r="H18" s="31" t="s">
        <v>96</v>
      </c>
      <c r="I18" s="29" t="s">
        <v>108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69"/>
      <c r="X18" s="70"/>
      <c r="Y18" s="70"/>
      <c r="Z18" s="70"/>
      <c r="AA18" s="70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</row>
    <row r="19" spans="1:55" ht="21.75" customHeight="1">
      <c r="A19" s="29" t="s">
        <v>113</v>
      </c>
      <c r="B19" s="30" t="s">
        <v>114</v>
      </c>
      <c r="C19" s="31" t="s">
        <v>95</v>
      </c>
      <c r="D19" s="32">
        <f>$B$5+14</f>
        <v>46167</v>
      </c>
      <c r="E19" s="32">
        <f>$B$5+23</f>
        <v>46176</v>
      </c>
      <c r="F19" s="29">
        <f>IF(AND(D19&lt;&gt;"",E19&lt;&gt;""),E19-D19+1,"")</f>
        <v>10</v>
      </c>
      <c r="G19" s="33">
        <v>0</v>
      </c>
      <c r="H19" s="31" t="s">
        <v>96</v>
      </c>
      <c r="I19" s="29" t="s">
        <v>106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69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</row>
    <row r="20" spans="1:55" ht="21.75" customHeight="1">
      <c r="A20" s="26" t="s">
        <v>115</v>
      </c>
      <c r="B20" s="27" t="s">
        <v>116</v>
      </c>
      <c r="C20" s="26"/>
      <c r="D20" s="26"/>
      <c r="E20" s="26"/>
      <c r="F20" s="26"/>
      <c r="G20" s="28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68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</row>
    <row r="21" spans="1:55" ht="21.75" customHeight="1">
      <c r="A21" s="29" t="s">
        <v>117</v>
      </c>
      <c r="B21" s="34" t="s">
        <v>118</v>
      </c>
      <c r="C21" s="31" t="s">
        <v>103</v>
      </c>
      <c r="D21" s="32">
        <f>$B$5+7</f>
        <v>46160</v>
      </c>
      <c r="E21" s="32">
        <f>$B$5+13</f>
        <v>46166</v>
      </c>
      <c r="F21" s="29">
        <f>IF(AND(D21&lt;&gt;"",E21&lt;&gt;""),E21-D21+1,"")</f>
        <v>7</v>
      </c>
      <c r="G21" s="33">
        <v>0</v>
      </c>
      <c r="H21" s="31" t="s">
        <v>96</v>
      </c>
      <c r="I21" s="29" t="s">
        <v>101</v>
      </c>
      <c r="J21" s="29"/>
      <c r="K21" s="29"/>
      <c r="L21" s="29"/>
      <c r="M21" s="29"/>
      <c r="N21" s="29"/>
      <c r="O21" s="29"/>
      <c r="P21" s="29"/>
      <c r="Q21" s="82"/>
      <c r="R21" s="82"/>
      <c r="S21" s="82"/>
      <c r="T21" s="82"/>
      <c r="U21" s="82"/>
      <c r="V21" s="82"/>
      <c r="W21" s="83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</row>
    <row r="22" spans="1:55" ht="21.75" customHeight="1">
      <c r="A22" s="29" t="s">
        <v>119</v>
      </c>
      <c r="B22" s="30" t="s">
        <v>120</v>
      </c>
      <c r="C22" s="31" t="s">
        <v>103</v>
      </c>
      <c r="D22" s="32">
        <f>$B$5+14</f>
        <v>46167</v>
      </c>
      <c r="E22" s="32">
        <f>$B$5+22</f>
        <v>46175</v>
      </c>
      <c r="F22" s="29">
        <f>IF(AND(D22&lt;&gt;"",E22&lt;&gt;""),E22-D22+1,"")</f>
        <v>9</v>
      </c>
      <c r="G22" s="33">
        <v>0</v>
      </c>
      <c r="H22" s="31" t="s">
        <v>96</v>
      </c>
      <c r="I22" s="29" t="s">
        <v>121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69"/>
      <c r="X22" s="84"/>
      <c r="Y22" s="84"/>
      <c r="Z22" s="84"/>
      <c r="AA22" s="84"/>
      <c r="AB22" s="84"/>
      <c r="AC22" s="84"/>
      <c r="AD22" s="84"/>
      <c r="AE22" s="84"/>
      <c r="AF22" s="84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</row>
    <row r="23" spans="1:55" ht="21.75" customHeight="1">
      <c r="A23" s="29" t="s">
        <v>122</v>
      </c>
      <c r="B23" s="30" t="s">
        <v>123</v>
      </c>
      <c r="C23" s="31" t="s">
        <v>103</v>
      </c>
      <c r="D23" s="32">
        <f>$B$5+18</f>
        <v>46171</v>
      </c>
      <c r="E23" s="32">
        <f>$B$5+28</f>
        <v>46181</v>
      </c>
      <c r="F23" s="29">
        <f>IF(AND(D23&lt;&gt;"",E23&lt;&gt;""),E23-D23+1,"")</f>
        <v>11</v>
      </c>
      <c r="G23" s="33">
        <v>0</v>
      </c>
      <c r="H23" s="31" t="s">
        <v>96</v>
      </c>
      <c r="I23" s="29" t="s">
        <v>124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69"/>
      <c r="X23" s="70"/>
      <c r="Y23" s="70"/>
      <c r="Z23" s="70"/>
      <c r="AA23" s="70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</row>
    <row r="24" spans="1:55" ht="21.75" customHeight="1">
      <c r="A24" s="29" t="s">
        <v>125</v>
      </c>
      <c r="B24" s="30" t="s">
        <v>126</v>
      </c>
      <c r="C24" s="31" t="s">
        <v>103</v>
      </c>
      <c r="D24" s="32">
        <f>$B$5+22</f>
        <v>46175</v>
      </c>
      <c r="E24" s="32">
        <f>$B$5+32</f>
        <v>46185</v>
      </c>
      <c r="F24" s="29">
        <f>IF(AND(D24&lt;&gt;"",E24&lt;&gt;""),E24-D24+1,"")</f>
        <v>11</v>
      </c>
      <c r="G24" s="33">
        <v>0</v>
      </c>
      <c r="H24" s="31" t="s">
        <v>96</v>
      </c>
      <c r="I24" s="29" t="s">
        <v>127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69"/>
      <c r="X24" s="70"/>
      <c r="Y24" s="70"/>
      <c r="Z24" s="70"/>
      <c r="AA24" s="70"/>
      <c r="AB24" s="70"/>
      <c r="AC24" s="70"/>
      <c r="AD24" s="70"/>
      <c r="AE24" s="70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</row>
    <row r="25" spans="1:55" ht="21.75" customHeight="1">
      <c r="A25" s="26" t="s">
        <v>128</v>
      </c>
      <c r="B25" s="27" t="s">
        <v>129</v>
      </c>
      <c r="C25" s="26"/>
      <c r="D25" s="26"/>
      <c r="E25" s="26"/>
      <c r="F25" s="26"/>
      <c r="G25" s="28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68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</row>
    <row r="26" spans="1:55" ht="21.75" customHeight="1">
      <c r="A26" s="29" t="s">
        <v>130</v>
      </c>
      <c r="B26" s="34" t="s">
        <v>131</v>
      </c>
      <c r="C26" s="31" t="s">
        <v>95</v>
      </c>
      <c r="D26" s="32">
        <f>$B$5+28</f>
        <v>46181</v>
      </c>
      <c r="E26" s="32">
        <f>$B$5+34</f>
        <v>46187</v>
      </c>
      <c r="F26" s="29">
        <f>IF(AND(D26&lt;&gt;"",E26&lt;&gt;""),E26-D26+1,"")</f>
        <v>7</v>
      </c>
      <c r="G26" s="33">
        <v>0</v>
      </c>
      <c r="H26" s="31" t="s">
        <v>96</v>
      </c>
      <c r="I26" s="29" t="s">
        <v>132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69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84"/>
      <c r="AM26" s="84"/>
      <c r="AN26" s="84"/>
      <c r="AO26" s="84"/>
      <c r="AP26" s="84"/>
      <c r="AQ26" s="84"/>
      <c r="AR26" s="84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</row>
    <row r="27" spans="1:55" ht="21.75" customHeight="1">
      <c r="A27" s="29" t="s">
        <v>133</v>
      </c>
      <c r="B27" s="30" t="s">
        <v>134</v>
      </c>
      <c r="C27" s="31" t="s">
        <v>103</v>
      </c>
      <c r="D27" s="32">
        <f>$B$5+32</f>
        <v>46185</v>
      </c>
      <c r="E27" s="32">
        <f>$B$5+36</f>
        <v>46189</v>
      </c>
      <c r="F27" s="29">
        <f>IF(AND(D27&lt;&gt;"",E27&lt;&gt;""),E27-D27+1,"")</f>
        <v>5</v>
      </c>
      <c r="G27" s="33">
        <v>0</v>
      </c>
      <c r="H27" s="31" t="s">
        <v>96</v>
      </c>
      <c r="I27" s="29" t="s">
        <v>130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69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84"/>
      <c r="AQ27" s="84"/>
      <c r="AR27" s="84"/>
      <c r="AS27" s="84"/>
      <c r="AT27" s="84"/>
      <c r="AU27" s="70"/>
      <c r="AV27" s="70"/>
      <c r="AW27" s="70"/>
      <c r="AX27" s="70"/>
      <c r="AY27" s="70"/>
      <c r="AZ27" s="70"/>
      <c r="BA27" s="70"/>
      <c r="BB27" s="70"/>
      <c r="BC27" s="70"/>
    </row>
    <row r="28" spans="1:55" ht="21.75" customHeight="1">
      <c r="A28" s="29" t="s">
        <v>135</v>
      </c>
      <c r="B28" s="30" t="s">
        <v>136</v>
      </c>
      <c r="C28" s="31" t="s">
        <v>95</v>
      </c>
      <c r="D28" s="32">
        <f>$B$5+34</f>
        <v>46187</v>
      </c>
      <c r="E28" s="32">
        <f>$B$5+38</f>
        <v>46191</v>
      </c>
      <c r="F28" s="29">
        <f>IF(AND(D28&lt;&gt;"",E28&lt;&gt;""),E28-D28+1,"")</f>
        <v>5</v>
      </c>
      <c r="G28" s="33">
        <v>0</v>
      </c>
      <c r="H28" s="31" t="s">
        <v>96</v>
      </c>
      <c r="I28" s="29" t="s">
        <v>133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69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84"/>
      <c r="AS28" s="84"/>
      <c r="AT28" s="84"/>
      <c r="AU28" s="84"/>
      <c r="AV28" s="84"/>
      <c r="AW28" s="70"/>
      <c r="AX28" s="70"/>
      <c r="AY28" s="70"/>
      <c r="AZ28" s="70"/>
      <c r="BA28" s="70"/>
      <c r="BB28" s="70"/>
      <c r="BC28" s="70"/>
    </row>
    <row r="29" spans="1:55" ht="21.75" customHeight="1">
      <c r="A29" s="29"/>
      <c r="B29" s="34"/>
      <c r="C29" s="29"/>
      <c r="D29" s="29"/>
      <c r="E29" s="29"/>
      <c r="F29" s="29"/>
      <c r="G29" s="33"/>
      <c r="H29" s="31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69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</row>
    <row r="30" spans="1:55" ht="21.75" customHeight="1">
      <c r="A30" s="26" t="s">
        <v>137</v>
      </c>
      <c r="B30" s="27" t="s">
        <v>138</v>
      </c>
      <c r="C30" s="26"/>
      <c r="D30" s="26"/>
      <c r="E30" s="26"/>
      <c r="F30" s="26"/>
      <c r="G30" s="28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68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</row>
    <row r="31" spans="1:55" ht="21.75" customHeight="1">
      <c r="A31" s="29" t="s">
        <v>139</v>
      </c>
      <c r="B31" s="30" t="s">
        <v>140</v>
      </c>
      <c r="C31" s="31" t="s">
        <v>103</v>
      </c>
      <c r="D31" s="32">
        <f>$B$5+35</f>
        <v>46188</v>
      </c>
      <c r="E31" s="32">
        <f>$B$5+40</f>
        <v>46193</v>
      </c>
      <c r="F31" s="29">
        <f>IF(AND(D31&lt;&gt;"",E31&lt;&gt;""),E31-D31+1,"")</f>
        <v>6</v>
      </c>
      <c r="G31" s="33">
        <v>0</v>
      </c>
      <c r="H31" s="31" t="s">
        <v>96</v>
      </c>
      <c r="I31" s="29" t="s">
        <v>133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69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84"/>
      <c r="AT31" s="84"/>
      <c r="AU31" s="84"/>
      <c r="AV31" s="84"/>
      <c r="AW31" s="84"/>
      <c r="AX31" s="84"/>
      <c r="AY31" s="70"/>
      <c r="AZ31" s="70"/>
      <c r="BA31" s="70"/>
      <c r="BB31" s="70"/>
      <c r="BC31" s="70"/>
    </row>
    <row r="32" spans="1:55" ht="21.75" customHeight="1">
      <c r="A32" s="29" t="s">
        <v>141</v>
      </c>
      <c r="B32" s="30" t="s">
        <v>142</v>
      </c>
      <c r="C32" s="31" t="s">
        <v>95</v>
      </c>
      <c r="D32" s="32">
        <f>$B$5+38</f>
        <v>46191</v>
      </c>
      <c r="E32" s="32">
        <f>$B$5+44</f>
        <v>46197</v>
      </c>
      <c r="F32" s="29">
        <f>IF(AND(D32&lt;&gt;"",E32&lt;&gt;""),E32-D32+1,"")</f>
        <v>7</v>
      </c>
      <c r="G32" s="33">
        <v>0</v>
      </c>
      <c r="H32" s="31" t="s">
        <v>96</v>
      </c>
      <c r="I32" s="29" t="s">
        <v>139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69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84"/>
      <c r="AW32" s="84"/>
      <c r="AX32" s="84"/>
      <c r="AY32" s="84"/>
      <c r="AZ32" s="84"/>
      <c r="BA32" s="84"/>
      <c r="BB32" s="84"/>
      <c r="BC32" s="70"/>
    </row>
    <row r="33" spans="1:55" ht="21.75" customHeight="1">
      <c r="A33" s="29" t="s">
        <v>143</v>
      </c>
      <c r="B33" s="30" t="s">
        <v>144</v>
      </c>
      <c r="C33" s="31" t="s">
        <v>95</v>
      </c>
      <c r="D33" s="32">
        <f>$B$5+45</f>
        <v>46198</v>
      </c>
      <c r="E33" s="32">
        <f>$B$5+45</f>
        <v>46198</v>
      </c>
      <c r="F33" s="29">
        <f>IF(AND(D33&lt;&gt;"",E33&lt;&gt;""),E33-D33+1,"")</f>
        <v>1</v>
      </c>
      <c r="G33" s="33">
        <v>0</v>
      </c>
      <c r="H33" s="31" t="s">
        <v>96</v>
      </c>
      <c r="I33" s="29" t="s">
        <v>141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69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84"/>
    </row>
    <row r="34" spans="1:55" ht="21.75" customHeight="1">
      <c r="A34" s="29"/>
      <c r="B34" s="34"/>
      <c r="C34" s="29"/>
      <c r="D34" s="29"/>
      <c r="E34" s="29"/>
      <c r="F34" s="29"/>
      <c r="G34" s="33"/>
      <c r="H34" s="31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69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</row>
    <row r="37" spans="1:55" ht="15.75" customHeight="1">
      <c r="A37" s="61" t="s">
        <v>145</v>
      </c>
      <c r="B37" s="61"/>
      <c r="C37" s="61"/>
      <c r="D37" s="61"/>
    </row>
    <row r="38" spans="1:55" ht="15" customHeight="1">
      <c r="A38" s="35" t="s">
        <v>96</v>
      </c>
      <c r="B38" s="62" t="s">
        <v>40</v>
      </c>
      <c r="C38" s="62"/>
      <c r="D38" s="62"/>
      <c r="E38" s="62"/>
      <c r="F38" s="62"/>
      <c r="G38" s="62"/>
      <c r="H38" s="62"/>
      <c r="I38" s="62"/>
    </row>
    <row r="39" spans="1:55" ht="15" customHeight="1">
      <c r="A39" s="36" t="s">
        <v>146</v>
      </c>
      <c r="B39" s="62" t="s">
        <v>42</v>
      </c>
      <c r="C39" s="62"/>
      <c r="D39" s="62"/>
      <c r="E39" s="62"/>
      <c r="F39" s="62"/>
      <c r="G39" s="62"/>
      <c r="H39" s="62"/>
      <c r="I39" s="62"/>
    </row>
    <row r="40" spans="1:55" ht="15" customHeight="1">
      <c r="A40" s="37" t="s">
        <v>147</v>
      </c>
      <c r="B40" s="62" t="s">
        <v>148</v>
      </c>
      <c r="C40" s="62"/>
      <c r="D40" s="62"/>
      <c r="E40" s="62"/>
      <c r="F40" s="62"/>
      <c r="G40" s="62"/>
      <c r="H40" s="62"/>
      <c r="I40" s="62"/>
    </row>
    <row r="41" spans="1:55" ht="15" customHeight="1">
      <c r="A41" s="38" t="s">
        <v>149</v>
      </c>
      <c r="B41" s="62" t="s">
        <v>150</v>
      </c>
      <c r="C41" s="62"/>
      <c r="D41" s="62"/>
      <c r="E41" s="62"/>
      <c r="F41" s="62"/>
      <c r="G41" s="62"/>
      <c r="H41" s="62"/>
      <c r="I41" s="62"/>
    </row>
    <row r="42" spans="1:55" ht="15" customHeight="1">
      <c r="A42" s="39" t="s">
        <v>151</v>
      </c>
      <c r="B42" s="62" t="s">
        <v>152</v>
      </c>
      <c r="C42" s="62"/>
      <c r="D42" s="62"/>
      <c r="E42" s="62"/>
      <c r="F42" s="62"/>
      <c r="G42" s="62"/>
      <c r="H42" s="62"/>
      <c r="I42" s="62"/>
    </row>
  </sheetData>
  <mergeCells count="23">
    <mergeCell ref="B40:I40"/>
    <mergeCell ref="B41:I41"/>
    <mergeCell ref="B42:I42"/>
    <mergeCell ref="AY7:BC7"/>
    <mergeCell ref="A9:I9"/>
    <mergeCell ref="A37:D37"/>
    <mergeCell ref="B38:I38"/>
    <mergeCell ref="B39:I39"/>
    <mergeCell ref="Q7:W7"/>
    <mergeCell ref="X7:AD7"/>
    <mergeCell ref="AE7:AK7"/>
    <mergeCell ref="AL7:AR7"/>
    <mergeCell ref="AS7:AX7"/>
    <mergeCell ref="B5:C5"/>
    <mergeCell ref="E5:F5"/>
    <mergeCell ref="H5:I5"/>
    <mergeCell ref="A7:I7"/>
    <mergeCell ref="J7:P7"/>
    <mergeCell ref="A1:W1"/>
    <mergeCell ref="B3:F3"/>
    <mergeCell ref="H3:I3"/>
    <mergeCell ref="B4:F4"/>
    <mergeCell ref="H4:I4"/>
  </mergeCells>
  <phoneticPr fontId="49" type="noConversion"/>
  <conditionalFormatting sqref="H10:H34">
    <cfRule type="cellIs" dxfId="37" priority="2" operator="equal">
      <formula>"시작 전"</formula>
    </cfRule>
    <cfRule type="cellIs" dxfId="36" priority="3" operator="equal">
      <formula>"진행 중"</formula>
    </cfRule>
    <cfRule type="cellIs" dxfId="35" priority="4" operator="equal">
      <formula>"주의"</formula>
    </cfRule>
    <cfRule type="cellIs" dxfId="34" priority="5" operator="equal">
      <formula>"지연"</formula>
    </cfRule>
    <cfRule type="cellIs" dxfId="33" priority="6" operator="equal">
      <formula>"완료"</formula>
    </cfRule>
  </conditionalFormatting>
  <conditionalFormatting sqref="G10:G34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10:W34">
    <cfRule type="expression" dxfId="32" priority="8">
      <formula>AND($D10&lt;&gt;"",$E10&lt;&gt;"",J$9&gt;=$D10,J$9&lt;=$E10,$H10="완료")</formula>
    </cfRule>
    <cfRule type="expression" dxfId="31" priority="9">
      <formula>AND($D10&lt;&gt;"",$E10&lt;&gt;"",J$9&gt;=$D10,J$9&lt;=$E10,$H10="진행 중")</formula>
    </cfRule>
    <cfRule type="expression" dxfId="30" priority="10">
      <formula>AND($D10&lt;&gt;"",$E10&lt;&gt;"",J$9&gt;=$D10,J$9&lt;=$E10,$H10="주의")</formula>
    </cfRule>
    <cfRule type="expression" dxfId="29" priority="11">
      <formula>AND($D10&lt;&gt;"",$E10&lt;&gt;"",J$9&gt;=$D10,J$9&lt;=$E10,$H10="지연")</formula>
    </cfRule>
    <cfRule type="expression" dxfId="28" priority="12">
      <formula>AND($D10&lt;&gt;"",$E10&lt;&gt;"",J$9&gt;=$D10,J$9&lt;=$E10,$H10="시작 전")</formula>
    </cfRule>
    <cfRule type="expression" dxfId="27" priority="13">
      <formula>AND($D10&lt;&gt;"",$E10&lt;&gt;"",J$9&gt;=$D10,J$9&lt;=$E10)</formula>
    </cfRule>
  </conditionalFormatting>
  <conditionalFormatting sqref="J9:W9">
    <cfRule type="expression" dxfId="26" priority="14">
      <formula>J$9=TODAY()</formula>
    </cfRule>
    <cfRule type="expression" dxfId="25" priority="15">
      <formula>OR(WEEKDAY(J$9,2)=6,WEEKDAY(J$9,2)=7)</formula>
    </cfRule>
  </conditionalFormatting>
  <conditionalFormatting sqref="J11:BC33">
    <cfRule type="expression" dxfId="24" priority="16">
      <formula>AND($D11&lt;&gt;"",$H11="진행 중",J$8&gt;=$D11,J$8&lt;=$E11)</formula>
    </cfRule>
    <cfRule type="expression" dxfId="23" priority="17">
      <formula>AND($D11&lt;&gt;"",$H11="완료",J$8&gt;=$D11,J$8&lt;=$E11)</formula>
    </cfRule>
    <cfRule type="expression" dxfId="22" priority="18">
      <formula>AND($D11&lt;&gt;"",$H11="주의",J$8&gt;=$D11,J$8&lt;=$E11)</formula>
    </cfRule>
    <cfRule type="expression" dxfId="21" priority="19">
      <formula>AND($D11&lt;&gt;"",$H11="지연",J$8&gt;=$D11,J$8&lt;=$E11)</formula>
    </cfRule>
    <cfRule type="expression" dxfId="20" priority="20">
      <formula>AND($D11&lt;&gt;"",$H11="시작 전",J$8&gt;=$D11,J$8&lt;=$E11)</formula>
    </cfRule>
  </conditionalFormatting>
  <conditionalFormatting sqref="J8:BC9">
    <cfRule type="expression" dxfId="19" priority="21">
      <formula>OR(J$9="토",J$9="일")</formula>
    </cfRule>
  </conditionalFormatting>
  <dataValidations count="1">
    <dataValidation type="list" allowBlank="1" errorTitle="잘못된 입력" error="목록에서 선택하세요" promptTitle="상태 선택" prompt="상태를 선택하세요" sqref="H10:H34" xr:uid="{00000000-0002-0000-0100-000000000000}">
      <formula1>"시작 전,진행 중,주의,지연,완료"</formula1>
      <formula2>0</formula2>
    </dataValidation>
  </dataValidations>
  <pageMargins left="0.3" right="0.3" top="0.4" bottom="0.4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8"/>
  <sheetViews>
    <sheetView tabSelected="1" zoomScale="70" zoomScaleNormal="70" workbookViewId="0">
      <pane ySplit="4" topLeftCell="A51" activePane="bottomLeft" state="frozen"/>
      <selection pane="bottomLeft" activeCell="A4" sqref="A4:E101"/>
    </sheetView>
  </sheetViews>
  <sheetFormatPr defaultColWidth="8.7109375" defaultRowHeight="15"/>
  <cols>
    <col min="1" max="1" width="12" style="13" customWidth="1"/>
    <col min="2" max="2" width="50" style="13" customWidth="1"/>
    <col min="3" max="3" width="12" style="13" customWidth="1"/>
    <col min="4" max="4" width="28" style="13" customWidth="1"/>
    <col min="5" max="5" width="12" style="13" customWidth="1"/>
  </cols>
  <sheetData>
    <row r="1" spans="1:5" ht="27" customHeight="1">
      <c r="A1" s="63" t="s">
        <v>153</v>
      </c>
      <c r="B1" s="63"/>
      <c r="C1" s="63"/>
      <c r="D1" s="63"/>
      <c r="E1" s="63"/>
    </row>
    <row r="2" spans="1:5" ht="16.5" customHeight="1">
      <c r="A2" s="64" t="s">
        <v>154</v>
      </c>
      <c r="B2" s="64"/>
      <c r="C2" s="64"/>
      <c r="D2" s="64"/>
      <c r="E2" s="64"/>
    </row>
    <row r="4" spans="1:5" ht="30" customHeight="1">
      <c r="A4" s="40" t="s">
        <v>155</v>
      </c>
      <c r="B4" s="41" t="s">
        <v>156</v>
      </c>
      <c r="C4" s="41" t="s">
        <v>26</v>
      </c>
      <c r="D4" s="41" t="s">
        <v>157</v>
      </c>
      <c r="E4" s="41" t="s">
        <v>158</v>
      </c>
    </row>
    <row r="5" spans="1:5" ht="27.75" customHeight="1">
      <c r="A5" s="42" t="s">
        <v>91</v>
      </c>
      <c r="B5" s="43" t="s">
        <v>159</v>
      </c>
      <c r="C5" s="42"/>
      <c r="D5" s="44" t="s">
        <v>160</v>
      </c>
      <c r="E5" s="42"/>
    </row>
    <row r="6" spans="1:5" ht="21.75" customHeight="1">
      <c r="A6" s="45" t="s">
        <v>93</v>
      </c>
      <c r="B6" s="46" t="s">
        <v>161</v>
      </c>
      <c r="C6" s="47" t="s">
        <v>95</v>
      </c>
      <c r="D6" s="46" t="s">
        <v>162</v>
      </c>
      <c r="E6" s="45"/>
    </row>
    <row r="7" spans="1:5" ht="19.5" customHeight="1">
      <c r="A7" s="48" t="s">
        <v>163</v>
      </c>
      <c r="B7" s="49" t="s">
        <v>164</v>
      </c>
      <c r="C7" s="50" t="s">
        <v>95</v>
      </c>
      <c r="D7" s="49" t="s">
        <v>165</v>
      </c>
      <c r="E7" s="48" t="s">
        <v>166</v>
      </c>
    </row>
    <row r="8" spans="1:5" ht="19.5" customHeight="1">
      <c r="A8" s="48" t="s">
        <v>167</v>
      </c>
      <c r="B8" s="49" t="s">
        <v>168</v>
      </c>
      <c r="C8" s="50" t="s">
        <v>95</v>
      </c>
      <c r="D8" s="49" t="s">
        <v>169</v>
      </c>
      <c r="E8" s="48" t="s">
        <v>170</v>
      </c>
    </row>
    <row r="9" spans="1:5" ht="19.5" customHeight="1">
      <c r="A9" s="48" t="s">
        <v>171</v>
      </c>
      <c r="B9" s="49" t="s">
        <v>172</v>
      </c>
      <c r="C9" s="50" t="s">
        <v>95</v>
      </c>
      <c r="D9" s="51" t="s">
        <v>173</v>
      </c>
      <c r="E9" s="48" t="s">
        <v>166</v>
      </c>
    </row>
    <row r="10" spans="1:5" ht="19.5" customHeight="1">
      <c r="A10" s="48" t="s">
        <v>174</v>
      </c>
      <c r="B10" s="49" t="s">
        <v>175</v>
      </c>
      <c r="C10" s="50" t="s">
        <v>95</v>
      </c>
      <c r="D10" s="49" t="s">
        <v>176</v>
      </c>
      <c r="E10" s="48" t="s">
        <v>177</v>
      </c>
    </row>
    <row r="11" spans="1:5" ht="21.75" customHeight="1">
      <c r="A11" s="45" t="s">
        <v>97</v>
      </c>
      <c r="B11" s="52" t="s">
        <v>178</v>
      </c>
      <c r="C11" s="47" t="s">
        <v>95</v>
      </c>
      <c r="D11" s="52" t="s">
        <v>179</v>
      </c>
      <c r="E11" s="45"/>
    </row>
    <row r="12" spans="1:5" ht="19.5" customHeight="1">
      <c r="A12" s="48" t="s">
        <v>180</v>
      </c>
      <c r="B12" s="49" t="s">
        <v>181</v>
      </c>
      <c r="C12" s="50" t="s">
        <v>95</v>
      </c>
      <c r="D12" s="49" t="s">
        <v>182</v>
      </c>
      <c r="E12" s="48" t="s">
        <v>170</v>
      </c>
    </row>
    <row r="13" spans="1:5" ht="19.5" customHeight="1">
      <c r="A13" s="48" t="s">
        <v>183</v>
      </c>
      <c r="B13" s="49" t="s">
        <v>184</v>
      </c>
      <c r="C13" s="50" t="s">
        <v>95</v>
      </c>
      <c r="D13" s="51" t="s">
        <v>185</v>
      </c>
      <c r="E13" s="48" t="s">
        <v>170</v>
      </c>
    </row>
    <row r="14" spans="1:5" ht="19.5" customHeight="1">
      <c r="A14" s="48" t="s">
        <v>186</v>
      </c>
      <c r="B14" s="49" t="s">
        <v>187</v>
      </c>
      <c r="C14" s="50" t="s">
        <v>95</v>
      </c>
      <c r="D14" s="49" t="s">
        <v>188</v>
      </c>
      <c r="E14" s="48" t="s">
        <v>177</v>
      </c>
    </row>
    <row r="15" spans="1:5" ht="19.5" customHeight="1">
      <c r="A15" s="48" t="s">
        <v>189</v>
      </c>
      <c r="B15" s="51" t="s">
        <v>190</v>
      </c>
      <c r="C15" s="50" t="s">
        <v>95</v>
      </c>
      <c r="D15" s="51" t="s">
        <v>191</v>
      </c>
      <c r="E15" s="48" t="s">
        <v>177</v>
      </c>
    </row>
    <row r="16" spans="1:5" ht="21.75" customHeight="1">
      <c r="A16" s="45" t="s">
        <v>99</v>
      </c>
      <c r="B16" s="52" t="s">
        <v>192</v>
      </c>
      <c r="C16" s="47" t="s">
        <v>95</v>
      </c>
      <c r="D16" s="52" t="s">
        <v>193</v>
      </c>
      <c r="E16" s="45"/>
    </row>
    <row r="17" spans="1:5" ht="19.5" customHeight="1">
      <c r="A17" s="48" t="s">
        <v>194</v>
      </c>
      <c r="B17" s="51" t="s">
        <v>195</v>
      </c>
      <c r="C17" s="50" t="s">
        <v>95</v>
      </c>
      <c r="D17" s="51" t="s">
        <v>196</v>
      </c>
      <c r="E17" s="48" t="s">
        <v>170</v>
      </c>
    </row>
    <row r="18" spans="1:5" ht="19.5" customHeight="1">
      <c r="A18" s="48" t="s">
        <v>197</v>
      </c>
      <c r="B18" s="51" t="s">
        <v>198</v>
      </c>
      <c r="C18" s="50" t="s">
        <v>95</v>
      </c>
      <c r="D18" s="49" t="s">
        <v>199</v>
      </c>
      <c r="E18" s="48" t="s">
        <v>166</v>
      </c>
    </row>
    <row r="19" spans="1:5" ht="19.5" customHeight="1">
      <c r="A19" s="48" t="s">
        <v>200</v>
      </c>
      <c r="B19" s="49" t="s">
        <v>201</v>
      </c>
      <c r="C19" s="50" t="s">
        <v>95</v>
      </c>
      <c r="D19" s="49" t="s">
        <v>202</v>
      </c>
      <c r="E19" s="48" t="s">
        <v>177</v>
      </c>
    </row>
    <row r="20" spans="1:5" ht="19.5" customHeight="1">
      <c r="A20" s="48" t="s">
        <v>203</v>
      </c>
      <c r="B20" s="51" t="s">
        <v>204</v>
      </c>
      <c r="C20" s="50" t="s">
        <v>95</v>
      </c>
      <c r="D20" s="51" t="s">
        <v>205</v>
      </c>
      <c r="E20" s="48" t="s">
        <v>170</v>
      </c>
    </row>
    <row r="21" spans="1:5" ht="21.75" customHeight="1">
      <c r="A21" s="45" t="s">
        <v>101</v>
      </c>
      <c r="B21" s="46" t="s">
        <v>206</v>
      </c>
      <c r="C21" s="47" t="s">
        <v>103</v>
      </c>
      <c r="D21" s="52" t="s">
        <v>207</v>
      </c>
      <c r="E21" s="45"/>
    </row>
    <row r="22" spans="1:5" ht="19.5" customHeight="1">
      <c r="A22" s="48" t="s">
        <v>208</v>
      </c>
      <c r="B22" s="49" t="s">
        <v>209</v>
      </c>
      <c r="C22" s="50" t="s">
        <v>103</v>
      </c>
      <c r="D22" s="49" t="s">
        <v>210</v>
      </c>
      <c r="E22" s="48" t="s">
        <v>170</v>
      </c>
    </row>
    <row r="23" spans="1:5" ht="19.5" customHeight="1">
      <c r="A23" s="48" t="s">
        <v>211</v>
      </c>
      <c r="B23" s="49" t="s">
        <v>212</v>
      </c>
      <c r="C23" s="50" t="s">
        <v>103</v>
      </c>
      <c r="D23" s="49" t="s">
        <v>213</v>
      </c>
      <c r="E23" s="48" t="s">
        <v>214</v>
      </c>
    </row>
    <row r="24" spans="1:5" ht="19.5" customHeight="1">
      <c r="A24" s="48" t="s">
        <v>215</v>
      </c>
      <c r="B24" s="49" t="s">
        <v>216</v>
      </c>
      <c r="C24" s="50" t="s">
        <v>103</v>
      </c>
      <c r="D24" s="49" t="s">
        <v>217</v>
      </c>
      <c r="E24" s="48" t="s">
        <v>170</v>
      </c>
    </row>
    <row r="25" spans="1:5" ht="19.5" customHeight="1">
      <c r="A25" s="48" t="s">
        <v>218</v>
      </c>
      <c r="B25" s="49" t="s">
        <v>219</v>
      </c>
      <c r="C25" s="50" t="s">
        <v>103</v>
      </c>
      <c r="D25" s="51" t="s">
        <v>220</v>
      </c>
      <c r="E25" s="48" t="s">
        <v>166</v>
      </c>
    </row>
    <row r="26" spans="1:5" ht="27.75" customHeight="1">
      <c r="A26" s="42" t="s">
        <v>104</v>
      </c>
      <c r="B26" s="43" t="s">
        <v>221</v>
      </c>
      <c r="C26" s="42"/>
      <c r="D26" s="43" t="s">
        <v>222</v>
      </c>
      <c r="E26" s="42"/>
    </row>
    <row r="27" spans="1:5" ht="21.75" customHeight="1">
      <c r="A27" s="45" t="s">
        <v>106</v>
      </c>
      <c r="B27" s="52" t="s">
        <v>223</v>
      </c>
      <c r="C27" s="47" t="s">
        <v>95</v>
      </c>
      <c r="D27" s="46" t="s">
        <v>224</v>
      </c>
      <c r="E27" s="45"/>
    </row>
    <row r="28" spans="1:5" ht="19.5" customHeight="1">
      <c r="A28" s="48" t="s">
        <v>225</v>
      </c>
      <c r="B28" s="51" t="s">
        <v>226</v>
      </c>
      <c r="C28" s="50" t="s">
        <v>95</v>
      </c>
      <c r="D28" s="49" t="s">
        <v>227</v>
      </c>
      <c r="E28" s="48" t="s">
        <v>170</v>
      </c>
    </row>
    <row r="29" spans="1:5" ht="19.5" customHeight="1">
      <c r="A29" s="48" t="s">
        <v>228</v>
      </c>
      <c r="B29" s="51" t="s">
        <v>229</v>
      </c>
      <c r="C29" s="50" t="s">
        <v>95</v>
      </c>
      <c r="D29" s="51" t="s">
        <v>230</v>
      </c>
      <c r="E29" s="48" t="s">
        <v>177</v>
      </c>
    </row>
    <row r="30" spans="1:5" ht="19.5" customHeight="1">
      <c r="A30" s="48" t="s">
        <v>231</v>
      </c>
      <c r="B30" s="51" t="s">
        <v>232</v>
      </c>
      <c r="C30" s="50" t="s">
        <v>95</v>
      </c>
      <c r="D30" s="49" t="s">
        <v>233</v>
      </c>
      <c r="E30" s="48" t="s">
        <v>166</v>
      </c>
    </row>
    <row r="31" spans="1:5" ht="19.5" customHeight="1">
      <c r="A31" s="48" t="s">
        <v>234</v>
      </c>
      <c r="B31" s="51" t="s">
        <v>235</v>
      </c>
      <c r="C31" s="50" t="s">
        <v>95</v>
      </c>
      <c r="D31" s="49" t="s">
        <v>236</v>
      </c>
      <c r="E31" s="48" t="s">
        <v>166</v>
      </c>
    </row>
    <row r="32" spans="1:5" ht="21.75" customHeight="1">
      <c r="A32" s="45" t="s">
        <v>108</v>
      </c>
      <c r="B32" s="46" t="s">
        <v>237</v>
      </c>
      <c r="C32" s="47" t="s">
        <v>95</v>
      </c>
      <c r="D32" s="46" t="s">
        <v>238</v>
      </c>
      <c r="E32" s="45"/>
    </row>
    <row r="33" spans="1:5" ht="19.5" customHeight="1">
      <c r="A33" s="48" t="s">
        <v>239</v>
      </c>
      <c r="B33" s="51" t="s">
        <v>240</v>
      </c>
      <c r="C33" s="50" t="s">
        <v>95</v>
      </c>
      <c r="D33" s="49" t="s">
        <v>241</v>
      </c>
      <c r="E33" s="48" t="s">
        <v>166</v>
      </c>
    </row>
    <row r="34" spans="1:5" ht="19.5" customHeight="1">
      <c r="A34" s="48" t="s">
        <v>242</v>
      </c>
      <c r="B34" s="49" t="s">
        <v>243</v>
      </c>
      <c r="C34" s="50" t="s">
        <v>95</v>
      </c>
      <c r="D34" s="49" t="s">
        <v>244</v>
      </c>
      <c r="E34" s="48" t="s">
        <v>166</v>
      </c>
    </row>
    <row r="35" spans="1:5" ht="19.5" customHeight="1">
      <c r="A35" s="48" t="s">
        <v>245</v>
      </c>
      <c r="B35" s="49" t="s">
        <v>246</v>
      </c>
      <c r="C35" s="50" t="s">
        <v>95</v>
      </c>
      <c r="D35" s="49" t="s">
        <v>247</v>
      </c>
      <c r="E35" s="48" t="s">
        <v>166</v>
      </c>
    </row>
    <row r="36" spans="1:5" ht="19.5" customHeight="1">
      <c r="A36" s="48" t="s">
        <v>248</v>
      </c>
      <c r="B36" s="49" t="s">
        <v>249</v>
      </c>
      <c r="C36" s="50" t="s">
        <v>95</v>
      </c>
      <c r="D36" s="49" t="s">
        <v>250</v>
      </c>
      <c r="E36" s="48" t="s">
        <v>251</v>
      </c>
    </row>
    <row r="37" spans="1:5" ht="19.5" customHeight="1">
      <c r="A37" s="48" t="s">
        <v>252</v>
      </c>
      <c r="B37" s="51" t="s">
        <v>253</v>
      </c>
      <c r="C37" s="50" t="s">
        <v>95</v>
      </c>
      <c r="D37" s="49" t="s">
        <v>254</v>
      </c>
      <c r="E37" s="48" t="s">
        <v>166</v>
      </c>
    </row>
    <row r="38" spans="1:5" ht="21.75" customHeight="1">
      <c r="A38" s="45" t="s">
        <v>111</v>
      </c>
      <c r="B38" s="46" t="s">
        <v>255</v>
      </c>
      <c r="C38" s="47" t="s">
        <v>95</v>
      </c>
      <c r="D38" s="46" t="s">
        <v>256</v>
      </c>
      <c r="E38" s="45"/>
    </row>
    <row r="39" spans="1:5" ht="19.5" customHeight="1">
      <c r="A39" s="48" t="s">
        <v>257</v>
      </c>
      <c r="B39" s="49" t="s">
        <v>258</v>
      </c>
      <c r="C39" s="50" t="s">
        <v>95</v>
      </c>
      <c r="D39" s="49" t="s">
        <v>259</v>
      </c>
      <c r="E39" s="48" t="s">
        <v>166</v>
      </c>
    </row>
    <row r="40" spans="1:5" ht="19.5" customHeight="1">
      <c r="A40" s="48" t="s">
        <v>260</v>
      </c>
      <c r="B40" s="49" t="s">
        <v>261</v>
      </c>
      <c r="C40" s="50" t="s">
        <v>95</v>
      </c>
      <c r="D40" s="49" t="s">
        <v>262</v>
      </c>
      <c r="E40" s="48" t="s">
        <v>170</v>
      </c>
    </row>
    <row r="41" spans="1:5" ht="19.5" customHeight="1">
      <c r="A41" s="48" t="s">
        <v>263</v>
      </c>
      <c r="B41" s="49" t="s">
        <v>264</v>
      </c>
      <c r="C41" s="50" t="s">
        <v>95</v>
      </c>
      <c r="D41" s="49" t="s">
        <v>265</v>
      </c>
      <c r="E41" s="48" t="s">
        <v>214</v>
      </c>
    </row>
    <row r="42" spans="1:5" ht="19.5" customHeight="1">
      <c r="A42" s="48" t="s">
        <v>266</v>
      </c>
      <c r="B42" s="49" t="s">
        <v>267</v>
      </c>
      <c r="C42" s="50" t="s">
        <v>95</v>
      </c>
      <c r="D42" s="49" t="s">
        <v>268</v>
      </c>
      <c r="E42" s="48" t="s">
        <v>214</v>
      </c>
    </row>
    <row r="43" spans="1:5" ht="19.5" customHeight="1">
      <c r="A43" s="48" t="s">
        <v>269</v>
      </c>
      <c r="B43" s="51" t="s">
        <v>270</v>
      </c>
      <c r="C43" s="50" t="s">
        <v>95</v>
      </c>
      <c r="D43" s="51" t="s">
        <v>271</v>
      </c>
      <c r="E43" s="48" t="s">
        <v>251</v>
      </c>
    </row>
    <row r="44" spans="1:5" ht="21.75" customHeight="1">
      <c r="A44" s="45" t="s">
        <v>113</v>
      </c>
      <c r="B44" s="46" t="s">
        <v>272</v>
      </c>
      <c r="C44" s="47" t="s">
        <v>95</v>
      </c>
      <c r="D44" s="52" t="s">
        <v>273</v>
      </c>
      <c r="E44" s="45"/>
    </row>
    <row r="45" spans="1:5" ht="19.5" customHeight="1">
      <c r="A45" s="48" t="s">
        <v>274</v>
      </c>
      <c r="B45" s="49" t="s">
        <v>275</v>
      </c>
      <c r="C45" s="50" t="s">
        <v>95</v>
      </c>
      <c r="D45" s="49" t="s">
        <v>276</v>
      </c>
      <c r="E45" s="48" t="s">
        <v>166</v>
      </c>
    </row>
    <row r="46" spans="1:5" ht="19.5" customHeight="1">
      <c r="A46" s="48" t="s">
        <v>277</v>
      </c>
      <c r="B46" s="49" t="s">
        <v>278</v>
      </c>
      <c r="C46" s="50" t="s">
        <v>95</v>
      </c>
      <c r="D46" s="49" t="s">
        <v>279</v>
      </c>
      <c r="E46" s="48" t="s">
        <v>170</v>
      </c>
    </row>
    <row r="47" spans="1:5" ht="19.5" customHeight="1">
      <c r="A47" s="48" t="s">
        <v>280</v>
      </c>
      <c r="B47" s="49" t="s">
        <v>281</v>
      </c>
      <c r="C47" s="50" t="s">
        <v>95</v>
      </c>
      <c r="D47" s="49" t="s">
        <v>282</v>
      </c>
      <c r="E47" s="48" t="s">
        <v>166</v>
      </c>
    </row>
    <row r="48" spans="1:5" ht="19.5" customHeight="1">
      <c r="A48" s="48" t="s">
        <v>283</v>
      </c>
      <c r="B48" s="49" t="s">
        <v>284</v>
      </c>
      <c r="C48" s="50" t="s">
        <v>95</v>
      </c>
      <c r="D48" s="49" t="s">
        <v>285</v>
      </c>
      <c r="E48" s="48" t="s">
        <v>170</v>
      </c>
    </row>
    <row r="49" spans="1:5" ht="27.75" customHeight="1">
      <c r="A49" s="42" t="s">
        <v>115</v>
      </c>
      <c r="B49" s="43" t="s">
        <v>286</v>
      </c>
      <c r="C49" s="42"/>
      <c r="D49" s="43" t="s">
        <v>287</v>
      </c>
      <c r="E49" s="42"/>
    </row>
    <row r="50" spans="1:5" ht="21.75" customHeight="1">
      <c r="A50" s="45" t="s">
        <v>117</v>
      </c>
      <c r="B50" s="52" t="s">
        <v>288</v>
      </c>
      <c r="C50" s="47" t="s">
        <v>103</v>
      </c>
      <c r="D50" s="46" t="s">
        <v>289</v>
      </c>
      <c r="E50" s="45"/>
    </row>
    <row r="51" spans="1:5" ht="19.5" customHeight="1">
      <c r="A51" s="48" t="s">
        <v>290</v>
      </c>
      <c r="B51" s="51" t="s">
        <v>291</v>
      </c>
      <c r="C51" s="50" t="s">
        <v>103</v>
      </c>
      <c r="D51" s="49" t="s">
        <v>227</v>
      </c>
      <c r="E51" s="48" t="s">
        <v>170</v>
      </c>
    </row>
    <row r="52" spans="1:5" ht="19.5" customHeight="1">
      <c r="A52" s="48" t="s">
        <v>292</v>
      </c>
      <c r="B52" s="49" t="s">
        <v>293</v>
      </c>
      <c r="C52" s="50" t="s">
        <v>103</v>
      </c>
      <c r="D52" s="49" t="s">
        <v>294</v>
      </c>
      <c r="E52" s="48" t="s">
        <v>166</v>
      </c>
    </row>
    <row r="53" spans="1:5" ht="19.5" customHeight="1">
      <c r="A53" s="48" t="s">
        <v>295</v>
      </c>
      <c r="B53" s="49" t="s">
        <v>296</v>
      </c>
      <c r="C53" s="50" t="s">
        <v>103</v>
      </c>
      <c r="D53" s="49" t="s">
        <v>297</v>
      </c>
      <c r="E53" s="48" t="s">
        <v>251</v>
      </c>
    </row>
    <row r="54" spans="1:5" ht="19.5" customHeight="1">
      <c r="A54" s="48" t="s">
        <v>298</v>
      </c>
      <c r="B54" s="49" t="s">
        <v>299</v>
      </c>
      <c r="C54" s="50" t="s">
        <v>103</v>
      </c>
      <c r="D54" s="49" t="s">
        <v>300</v>
      </c>
      <c r="E54" s="48" t="s">
        <v>251</v>
      </c>
    </row>
    <row r="55" spans="1:5" ht="21.75" customHeight="1">
      <c r="A55" s="45" t="s">
        <v>119</v>
      </c>
      <c r="B55" s="46" t="s">
        <v>301</v>
      </c>
      <c r="C55" s="47" t="s">
        <v>103</v>
      </c>
      <c r="D55" s="46" t="s">
        <v>302</v>
      </c>
      <c r="E55" s="45"/>
    </row>
    <row r="56" spans="1:5" ht="19.5" customHeight="1">
      <c r="A56" s="48" t="s">
        <v>303</v>
      </c>
      <c r="B56" s="49" t="s">
        <v>304</v>
      </c>
      <c r="C56" s="50" t="s">
        <v>103</v>
      </c>
      <c r="D56" s="49" t="s">
        <v>305</v>
      </c>
      <c r="E56" s="48" t="s">
        <v>251</v>
      </c>
    </row>
    <row r="57" spans="1:5" ht="19.5" customHeight="1">
      <c r="A57" s="48" t="s">
        <v>306</v>
      </c>
      <c r="B57" s="49" t="s">
        <v>307</v>
      </c>
      <c r="C57" s="50" t="s">
        <v>103</v>
      </c>
      <c r="D57" s="49" t="s">
        <v>308</v>
      </c>
      <c r="E57" s="48" t="s">
        <v>166</v>
      </c>
    </row>
    <row r="58" spans="1:5" ht="19.5" customHeight="1">
      <c r="A58" s="48" t="s">
        <v>309</v>
      </c>
      <c r="B58" s="49" t="s">
        <v>310</v>
      </c>
      <c r="C58" s="50" t="s">
        <v>103</v>
      </c>
      <c r="D58" s="49" t="s">
        <v>311</v>
      </c>
      <c r="E58" s="48" t="s">
        <v>214</v>
      </c>
    </row>
    <row r="59" spans="1:5" ht="19.5" customHeight="1">
      <c r="A59" s="48" t="s">
        <v>312</v>
      </c>
      <c r="B59" s="49" t="s">
        <v>313</v>
      </c>
      <c r="C59" s="50" t="s">
        <v>103</v>
      </c>
      <c r="D59" s="49" t="s">
        <v>314</v>
      </c>
      <c r="E59" s="48" t="s">
        <v>166</v>
      </c>
    </row>
    <row r="60" spans="1:5" ht="21.75" customHeight="1">
      <c r="A60" s="45" t="s">
        <v>122</v>
      </c>
      <c r="B60" s="46" t="s">
        <v>315</v>
      </c>
      <c r="C60" s="47" t="s">
        <v>103</v>
      </c>
      <c r="D60" s="46" t="s">
        <v>316</v>
      </c>
      <c r="E60" s="45"/>
    </row>
    <row r="61" spans="1:5" ht="19.5" customHeight="1">
      <c r="A61" s="48" t="s">
        <v>317</v>
      </c>
      <c r="B61" s="49" t="s">
        <v>318</v>
      </c>
      <c r="C61" s="50" t="s">
        <v>103</v>
      </c>
      <c r="D61" s="49" t="s">
        <v>319</v>
      </c>
      <c r="E61" s="48" t="s">
        <v>251</v>
      </c>
    </row>
    <row r="62" spans="1:5" ht="19.5" customHeight="1">
      <c r="A62" s="48" t="s">
        <v>320</v>
      </c>
      <c r="B62" s="49" t="s">
        <v>321</v>
      </c>
      <c r="C62" s="50" t="s">
        <v>103</v>
      </c>
      <c r="D62" s="49" t="s">
        <v>322</v>
      </c>
      <c r="E62" s="48" t="s">
        <v>251</v>
      </c>
    </row>
    <row r="63" spans="1:5" ht="19.5" customHeight="1">
      <c r="A63" s="48" t="s">
        <v>323</v>
      </c>
      <c r="B63" s="49" t="s">
        <v>324</v>
      </c>
      <c r="C63" s="50" t="s">
        <v>103</v>
      </c>
      <c r="D63" s="49" t="s">
        <v>325</v>
      </c>
      <c r="E63" s="48" t="s">
        <v>170</v>
      </c>
    </row>
    <row r="64" spans="1:5" ht="19.5" customHeight="1">
      <c r="A64" s="48" t="s">
        <v>326</v>
      </c>
      <c r="B64" s="49" t="s">
        <v>327</v>
      </c>
      <c r="C64" s="50" t="s">
        <v>103</v>
      </c>
      <c r="D64" s="49" t="s">
        <v>328</v>
      </c>
      <c r="E64" s="48" t="s">
        <v>166</v>
      </c>
    </row>
    <row r="65" spans="1:5" ht="21.75" customHeight="1">
      <c r="A65" s="45" t="s">
        <v>125</v>
      </c>
      <c r="B65" s="46" t="s">
        <v>329</v>
      </c>
      <c r="C65" s="47" t="s">
        <v>103</v>
      </c>
      <c r="D65" s="46" t="s">
        <v>330</v>
      </c>
      <c r="E65" s="45"/>
    </row>
    <row r="66" spans="1:5" ht="19.5" customHeight="1">
      <c r="A66" s="48" t="s">
        <v>331</v>
      </c>
      <c r="B66" s="49" t="s">
        <v>332</v>
      </c>
      <c r="C66" s="50" t="s">
        <v>103</v>
      </c>
      <c r="D66" s="49" t="s">
        <v>333</v>
      </c>
      <c r="E66" s="48" t="s">
        <v>251</v>
      </c>
    </row>
    <row r="67" spans="1:5" ht="19.5" customHeight="1">
      <c r="A67" s="48" t="s">
        <v>334</v>
      </c>
      <c r="B67" s="49" t="s">
        <v>335</v>
      </c>
      <c r="C67" s="50" t="s">
        <v>103</v>
      </c>
      <c r="D67" s="49" t="s">
        <v>336</v>
      </c>
      <c r="E67" s="48" t="s">
        <v>170</v>
      </c>
    </row>
    <row r="68" spans="1:5" ht="19.5" customHeight="1">
      <c r="A68" s="48" t="s">
        <v>337</v>
      </c>
      <c r="B68" s="49" t="s">
        <v>338</v>
      </c>
      <c r="C68" s="50" t="s">
        <v>103</v>
      </c>
      <c r="D68" s="49" t="s">
        <v>339</v>
      </c>
      <c r="E68" s="48" t="s">
        <v>166</v>
      </c>
    </row>
    <row r="69" spans="1:5" ht="19.5" customHeight="1">
      <c r="A69" s="48" t="s">
        <v>340</v>
      </c>
      <c r="B69" s="49" t="s">
        <v>341</v>
      </c>
      <c r="C69" s="50" t="s">
        <v>103</v>
      </c>
      <c r="D69" s="49" t="s">
        <v>342</v>
      </c>
      <c r="E69" s="48" t="s">
        <v>166</v>
      </c>
    </row>
    <row r="70" spans="1:5" ht="27.75" customHeight="1">
      <c r="A70" s="42" t="s">
        <v>128</v>
      </c>
      <c r="B70" s="43" t="s">
        <v>343</v>
      </c>
      <c r="C70" s="42"/>
      <c r="D70" s="44" t="s">
        <v>344</v>
      </c>
      <c r="E70" s="42"/>
    </row>
    <row r="71" spans="1:5" ht="21.75" customHeight="1">
      <c r="A71" s="45" t="s">
        <v>130</v>
      </c>
      <c r="B71" s="52" t="s">
        <v>345</v>
      </c>
      <c r="C71" s="47" t="s">
        <v>95</v>
      </c>
      <c r="D71" s="46" t="s">
        <v>346</v>
      </c>
      <c r="E71" s="45"/>
    </row>
    <row r="72" spans="1:5" ht="19.5" customHeight="1">
      <c r="A72" s="48" t="s">
        <v>347</v>
      </c>
      <c r="B72" s="51" t="s">
        <v>348</v>
      </c>
      <c r="C72" s="50" t="s">
        <v>95</v>
      </c>
      <c r="D72" s="49" t="s">
        <v>349</v>
      </c>
      <c r="E72" s="48" t="s">
        <v>170</v>
      </c>
    </row>
    <row r="73" spans="1:5" ht="19.5" customHeight="1">
      <c r="A73" s="48" t="s">
        <v>350</v>
      </c>
      <c r="B73" s="49" t="s">
        <v>351</v>
      </c>
      <c r="C73" s="50" t="s">
        <v>95</v>
      </c>
      <c r="D73" s="49" t="s">
        <v>352</v>
      </c>
      <c r="E73" s="48" t="s">
        <v>170</v>
      </c>
    </row>
    <row r="74" spans="1:5" ht="19.5" customHeight="1">
      <c r="A74" s="48" t="s">
        <v>353</v>
      </c>
      <c r="B74" s="49" t="s">
        <v>354</v>
      </c>
      <c r="C74" s="50" t="s">
        <v>95</v>
      </c>
      <c r="D74" s="49" t="s">
        <v>355</v>
      </c>
      <c r="E74" s="48" t="s">
        <v>170</v>
      </c>
    </row>
    <row r="75" spans="1:5" ht="19.5" customHeight="1">
      <c r="A75" s="48" t="s">
        <v>356</v>
      </c>
      <c r="B75" s="49" t="s">
        <v>357</v>
      </c>
      <c r="C75" s="50" t="s">
        <v>95</v>
      </c>
      <c r="D75" s="51" t="s">
        <v>358</v>
      </c>
      <c r="E75" s="48" t="s">
        <v>177</v>
      </c>
    </row>
    <row r="76" spans="1:5" ht="21.75" customHeight="1">
      <c r="A76" s="45" t="s">
        <v>133</v>
      </c>
      <c r="B76" s="46" t="s">
        <v>359</v>
      </c>
      <c r="C76" s="47" t="s">
        <v>103</v>
      </c>
      <c r="D76" s="52" t="s">
        <v>360</v>
      </c>
      <c r="E76" s="45"/>
    </row>
    <row r="77" spans="1:5" ht="19.5" customHeight="1">
      <c r="A77" s="48" t="s">
        <v>361</v>
      </c>
      <c r="B77" s="49" t="s">
        <v>362</v>
      </c>
      <c r="C77" s="50" t="s">
        <v>103</v>
      </c>
      <c r="D77" s="49" t="s">
        <v>363</v>
      </c>
      <c r="E77" s="48" t="s">
        <v>177</v>
      </c>
    </row>
    <row r="78" spans="1:5" ht="19.5" customHeight="1">
      <c r="A78" s="48" t="s">
        <v>364</v>
      </c>
      <c r="B78" s="49" t="s">
        <v>365</v>
      </c>
      <c r="C78" s="50" t="s">
        <v>103</v>
      </c>
      <c r="D78" s="49" t="s">
        <v>366</v>
      </c>
      <c r="E78" s="48" t="s">
        <v>177</v>
      </c>
    </row>
    <row r="79" spans="1:5" ht="19.5" customHeight="1">
      <c r="A79" s="48" t="s">
        <v>367</v>
      </c>
      <c r="B79" s="49" t="s">
        <v>368</v>
      </c>
      <c r="C79" s="50" t="s">
        <v>103</v>
      </c>
      <c r="D79" s="49" t="s">
        <v>369</v>
      </c>
      <c r="E79" s="48" t="s">
        <v>177</v>
      </c>
    </row>
    <row r="80" spans="1:5" ht="19.5" customHeight="1">
      <c r="A80" s="48" t="s">
        <v>370</v>
      </c>
      <c r="B80" s="49" t="s">
        <v>371</v>
      </c>
      <c r="C80" s="50" t="s">
        <v>103</v>
      </c>
      <c r="D80" s="49" t="s">
        <v>372</v>
      </c>
      <c r="E80" s="48" t="s">
        <v>170</v>
      </c>
    </row>
    <row r="81" spans="1:5" ht="21.75" customHeight="1">
      <c r="A81" s="45" t="s">
        <v>135</v>
      </c>
      <c r="B81" s="46" t="s">
        <v>373</v>
      </c>
      <c r="C81" s="47" t="s">
        <v>95</v>
      </c>
      <c r="D81" s="46" t="s">
        <v>374</v>
      </c>
      <c r="E81" s="45"/>
    </row>
    <row r="82" spans="1:5" ht="19.5" customHeight="1">
      <c r="A82" s="48" t="s">
        <v>375</v>
      </c>
      <c r="B82" s="49" t="s">
        <v>376</v>
      </c>
      <c r="C82" s="50" t="s">
        <v>95</v>
      </c>
      <c r="D82" s="49" t="s">
        <v>377</v>
      </c>
      <c r="E82" s="48" t="s">
        <v>170</v>
      </c>
    </row>
    <row r="83" spans="1:5" ht="19.5" customHeight="1">
      <c r="A83" s="48" t="s">
        <v>378</v>
      </c>
      <c r="B83" s="49" t="s">
        <v>379</v>
      </c>
      <c r="C83" s="50" t="s">
        <v>95</v>
      </c>
      <c r="D83" s="49" t="s">
        <v>380</v>
      </c>
      <c r="E83" s="48" t="s">
        <v>170</v>
      </c>
    </row>
    <row r="84" spans="1:5" ht="19.5" customHeight="1">
      <c r="A84" s="48" t="s">
        <v>381</v>
      </c>
      <c r="B84" s="49" t="s">
        <v>382</v>
      </c>
      <c r="C84" s="50" t="s">
        <v>95</v>
      </c>
      <c r="D84" s="49" t="s">
        <v>383</v>
      </c>
      <c r="E84" s="48" t="s">
        <v>170</v>
      </c>
    </row>
    <row r="85" spans="1:5" ht="19.5" customHeight="1">
      <c r="A85" s="48" t="s">
        <v>384</v>
      </c>
      <c r="B85" s="49" t="s">
        <v>385</v>
      </c>
      <c r="C85" s="50" t="s">
        <v>95</v>
      </c>
      <c r="D85" s="49" t="s">
        <v>386</v>
      </c>
      <c r="E85" s="48" t="s">
        <v>170</v>
      </c>
    </row>
    <row r="86" spans="1:5" ht="27.75" customHeight="1">
      <c r="A86" s="42" t="s">
        <v>137</v>
      </c>
      <c r="B86" s="43" t="s">
        <v>387</v>
      </c>
      <c r="C86" s="42"/>
      <c r="D86" s="44" t="s">
        <v>388</v>
      </c>
      <c r="E86" s="42"/>
    </row>
    <row r="87" spans="1:5" ht="21.75" customHeight="1">
      <c r="A87" s="45" t="s">
        <v>139</v>
      </c>
      <c r="B87" s="46" t="s">
        <v>389</v>
      </c>
      <c r="C87" s="47" t="s">
        <v>103</v>
      </c>
      <c r="D87" s="46" t="s">
        <v>390</v>
      </c>
      <c r="E87" s="45"/>
    </row>
    <row r="88" spans="1:5" ht="19.5" customHeight="1">
      <c r="A88" s="48" t="s">
        <v>391</v>
      </c>
      <c r="B88" s="49" t="s">
        <v>392</v>
      </c>
      <c r="C88" s="50" t="s">
        <v>103</v>
      </c>
      <c r="D88" s="51" t="s">
        <v>393</v>
      </c>
      <c r="E88" s="48" t="s">
        <v>251</v>
      </c>
    </row>
    <row r="89" spans="1:5" ht="19.5" customHeight="1">
      <c r="A89" s="48" t="s">
        <v>394</v>
      </c>
      <c r="B89" s="49" t="s">
        <v>395</v>
      </c>
      <c r="C89" s="50" t="s">
        <v>103</v>
      </c>
      <c r="D89" s="49" t="s">
        <v>396</v>
      </c>
      <c r="E89" s="48" t="s">
        <v>170</v>
      </c>
    </row>
    <row r="90" spans="1:5" ht="19.5" customHeight="1">
      <c r="A90" s="48" t="s">
        <v>397</v>
      </c>
      <c r="B90" s="51" t="s">
        <v>398</v>
      </c>
      <c r="C90" s="50" t="s">
        <v>103</v>
      </c>
      <c r="D90" s="51" t="s">
        <v>399</v>
      </c>
      <c r="E90" s="48" t="s">
        <v>170</v>
      </c>
    </row>
    <row r="91" spans="1:5" ht="19.5" customHeight="1">
      <c r="A91" s="48" t="s">
        <v>400</v>
      </c>
      <c r="B91" s="51" t="s">
        <v>401</v>
      </c>
      <c r="C91" s="50" t="s">
        <v>103</v>
      </c>
      <c r="D91" s="49" t="s">
        <v>402</v>
      </c>
      <c r="E91" s="48" t="s">
        <v>177</v>
      </c>
    </row>
    <row r="92" spans="1:5" ht="21.75" customHeight="1">
      <c r="A92" s="45" t="s">
        <v>141</v>
      </c>
      <c r="B92" s="46" t="s">
        <v>403</v>
      </c>
      <c r="C92" s="47" t="s">
        <v>103</v>
      </c>
      <c r="D92" s="46" t="s">
        <v>404</v>
      </c>
      <c r="E92" s="45"/>
    </row>
    <row r="93" spans="1:5" ht="19.5" customHeight="1">
      <c r="A93" s="48" t="s">
        <v>405</v>
      </c>
      <c r="B93" s="49" t="s">
        <v>406</v>
      </c>
      <c r="C93" s="50" t="s">
        <v>103</v>
      </c>
      <c r="D93" s="49" t="s">
        <v>407</v>
      </c>
      <c r="E93" s="48" t="s">
        <v>170</v>
      </c>
    </row>
    <row r="94" spans="1:5" ht="19.5" customHeight="1">
      <c r="A94" s="48" t="s">
        <v>408</v>
      </c>
      <c r="B94" s="51" t="s">
        <v>409</v>
      </c>
      <c r="C94" s="50" t="s">
        <v>103</v>
      </c>
      <c r="D94" s="51" t="s">
        <v>410</v>
      </c>
      <c r="E94" s="48" t="s">
        <v>177</v>
      </c>
    </row>
    <row r="95" spans="1:5" ht="19.5" customHeight="1">
      <c r="A95" s="48" t="s">
        <v>411</v>
      </c>
      <c r="B95" s="49" t="s">
        <v>412</v>
      </c>
      <c r="C95" s="50" t="s">
        <v>103</v>
      </c>
      <c r="D95" s="49" t="s">
        <v>413</v>
      </c>
      <c r="E95" s="48" t="s">
        <v>177</v>
      </c>
    </row>
    <row r="96" spans="1:5" ht="19.5" customHeight="1">
      <c r="A96" s="48" t="s">
        <v>414</v>
      </c>
      <c r="B96" s="49" t="s">
        <v>415</v>
      </c>
      <c r="C96" s="50" t="s">
        <v>103</v>
      </c>
      <c r="D96" s="49" t="s">
        <v>416</v>
      </c>
      <c r="E96" s="48" t="s">
        <v>170</v>
      </c>
    </row>
    <row r="97" spans="1:5" ht="21.75" customHeight="1">
      <c r="A97" s="45" t="s">
        <v>143</v>
      </c>
      <c r="B97" s="46" t="s">
        <v>417</v>
      </c>
      <c r="C97" s="47" t="s">
        <v>95</v>
      </c>
      <c r="D97" s="46" t="s">
        <v>418</v>
      </c>
      <c r="E97" s="45"/>
    </row>
    <row r="98" spans="1:5" ht="19.5" customHeight="1">
      <c r="A98" s="48" t="s">
        <v>419</v>
      </c>
      <c r="B98" s="49" t="s">
        <v>420</v>
      </c>
      <c r="C98" s="50" t="s">
        <v>95</v>
      </c>
      <c r="D98" s="49" t="s">
        <v>421</v>
      </c>
      <c r="E98" s="48" t="s">
        <v>422</v>
      </c>
    </row>
    <row r="99" spans="1:5" ht="19.5" customHeight="1">
      <c r="A99" s="48" t="s">
        <v>423</v>
      </c>
      <c r="B99" s="49" t="s">
        <v>424</v>
      </c>
      <c r="C99" s="50" t="s">
        <v>95</v>
      </c>
      <c r="D99" s="49" t="s">
        <v>425</v>
      </c>
      <c r="E99" s="48" t="s">
        <v>422</v>
      </c>
    </row>
    <row r="100" spans="1:5" ht="19.5" customHeight="1">
      <c r="A100" s="48" t="s">
        <v>426</v>
      </c>
      <c r="B100" s="51" t="s">
        <v>427</v>
      </c>
      <c r="C100" s="50" t="s">
        <v>95</v>
      </c>
      <c r="D100" s="51" t="s">
        <v>428</v>
      </c>
      <c r="E100" s="48" t="s">
        <v>422</v>
      </c>
    </row>
    <row r="101" spans="1:5" ht="19.5" customHeight="1">
      <c r="A101" s="48" t="s">
        <v>429</v>
      </c>
      <c r="B101" s="49" t="s">
        <v>430</v>
      </c>
      <c r="C101" s="50" t="s">
        <v>431</v>
      </c>
      <c r="D101" s="49" t="s">
        <v>432</v>
      </c>
      <c r="E101" s="48" t="s">
        <v>177</v>
      </c>
    </row>
    <row r="104" spans="1:5" ht="15" customHeight="1">
      <c r="A104" s="53" t="s">
        <v>433</v>
      </c>
      <c r="B104" s="53"/>
    </row>
    <row r="105" spans="1:5" ht="15" customHeight="1">
      <c r="A105" s="54" t="s">
        <v>434</v>
      </c>
      <c r="B105" s="54">
        <v>5</v>
      </c>
    </row>
    <row r="106" spans="1:5" ht="15" customHeight="1">
      <c r="A106" s="54" t="s">
        <v>435</v>
      </c>
      <c r="B106" s="54">
        <v>18</v>
      </c>
    </row>
    <row r="107" spans="1:5" ht="15" customHeight="1">
      <c r="A107" s="54" t="s">
        <v>436</v>
      </c>
      <c r="B107" s="54">
        <v>74</v>
      </c>
    </row>
    <row r="108" spans="1:5" ht="15" customHeight="1">
      <c r="A108" s="55" t="s">
        <v>437</v>
      </c>
      <c r="B108" s="55" t="s">
        <v>438</v>
      </c>
    </row>
  </sheetData>
  <mergeCells count="2">
    <mergeCell ref="A1:E1"/>
    <mergeCell ref="A2:E2"/>
  </mergeCells>
  <phoneticPr fontId="4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41"/>
  <sheetViews>
    <sheetView showGridLines="0" zoomScaleNormal="10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/>
    </sheetView>
  </sheetViews>
  <sheetFormatPr defaultColWidth="8.5703125" defaultRowHeight="15"/>
  <cols>
    <col min="1" max="1" width="8" style="13" customWidth="1"/>
    <col min="2" max="2" width="32" style="13" customWidth="1"/>
    <col min="3" max="3" width="11" style="13" customWidth="1"/>
    <col min="4" max="5" width="12" style="13" customWidth="1"/>
    <col min="6" max="6" width="7" style="13" customWidth="1"/>
    <col min="7" max="7" width="8" style="13" customWidth="1"/>
    <col min="8" max="9" width="11" style="13" customWidth="1"/>
    <col min="10" max="23" width="5.5703125" style="13" customWidth="1"/>
  </cols>
  <sheetData>
    <row r="1" spans="1:23" ht="31.5" customHeight="1">
      <c r="A1" s="9" t="s">
        <v>439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3" spans="1:23" ht="16.5" customHeight="1">
      <c r="A3" s="20" t="s">
        <v>68</v>
      </c>
      <c r="B3" s="8" t="s">
        <v>440</v>
      </c>
      <c r="C3" s="8"/>
      <c r="D3" s="8"/>
      <c r="E3" s="8"/>
      <c r="F3" s="8"/>
      <c r="G3" s="20" t="s">
        <v>70</v>
      </c>
      <c r="H3" s="7" t="s">
        <v>441</v>
      </c>
      <c r="I3" s="7"/>
    </row>
    <row r="4" spans="1:23" ht="16.5" customHeight="1">
      <c r="A4" s="20" t="s">
        <v>72</v>
      </c>
      <c r="B4" s="8" t="s">
        <v>442</v>
      </c>
      <c r="C4" s="8"/>
      <c r="D4" s="8"/>
      <c r="E4" s="8"/>
      <c r="F4" s="8"/>
      <c r="G4" s="20" t="s">
        <v>74</v>
      </c>
      <c r="H4" s="65">
        <v>46153</v>
      </c>
      <c r="I4" s="65"/>
    </row>
    <row r="5" spans="1:23" ht="16.5" customHeight="1">
      <c r="A5" s="21" t="s">
        <v>75</v>
      </c>
      <c r="B5" s="5">
        <v>46153</v>
      </c>
      <c r="C5" s="5"/>
      <c r="D5" s="21" t="s">
        <v>76</v>
      </c>
      <c r="E5" s="5">
        <f>IF(B5="","",B5+13)</f>
        <v>46166</v>
      </c>
      <c r="F5" s="5"/>
      <c r="G5" s="20" t="s">
        <v>77</v>
      </c>
      <c r="H5" s="4">
        <f ca="1">TODAY()</f>
        <v>46150</v>
      </c>
      <c r="I5" s="4"/>
    </row>
    <row r="7" spans="1:23" ht="21.75" customHeight="1">
      <c r="A7" s="3" t="s">
        <v>78</v>
      </c>
      <c r="B7" s="3"/>
      <c r="C7" s="3"/>
      <c r="D7" s="3"/>
      <c r="E7" s="3"/>
      <c r="F7" s="3"/>
      <c r="G7" s="3"/>
      <c r="H7" s="3"/>
      <c r="I7" s="3"/>
      <c r="J7" s="66" t="s">
        <v>79</v>
      </c>
      <c r="K7" s="66"/>
      <c r="L7" s="66"/>
      <c r="M7" s="66"/>
      <c r="N7" s="66"/>
      <c r="O7" s="66"/>
      <c r="P7" s="66"/>
      <c r="Q7" s="67" t="s">
        <v>80</v>
      </c>
      <c r="R7" s="67"/>
      <c r="S7" s="67"/>
      <c r="T7" s="67"/>
      <c r="U7" s="67"/>
      <c r="V7" s="67"/>
      <c r="W7" s="67"/>
    </row>
    <row r="8" spans="1:23" ht="31.5" customHeight="1">
      <c r="A8" s="23" t="s">
        <v>86</v>
      </c>
      <c r="B8" s="22" t="s">
        <v>24</v>
      </c>
      <c r="C8" s="22" t="s">
        <v>26</v>
      </c>
      <c r="D8" s="22" t="s">
        <v>87</v>
      </c>
      <c r="E8" s="22" t="s">
        <v>88</v>
      </c>
      <c r="F8" s="22" t="s">
        <v>89</v>
      </c>
      <c r="G8" s="22" t="s">
        <v>32</v>
      </c>
      <c r="H8" s="22" t="s">
        <v>34</v>
      </c>
      <c r="I8" s="22" t="s">
        <v>36</v>
      </c>
      <c r="J8" s="56" t="s">
        <v>443</v>
      </c>
      <c r="K8" s="56" t="s">
        <v>444</v>
      </c>
      <c r="L8" s="56" t="s">
        <v>445</v>
      </c>
      <c r="M8" s="56" t="s">
        <v>446</v>
      </c>
      <c r="N8" s="56" t="s">
        <v>447</v>
      </c>
      <c r="O8" s="56" t="s">
        <v>448</v>
      </c>
      <c r="P8" s="56" t="s">
        <v>449</v>
      </c>
      <c r="Q8" s="56" t="s">
        <v>450</v>
      </c>
      <c r="R8" s="56" t="s">
        <v>451</v>
      </c>
      <c r="S8" s="56" t="s">
        <v>452</v>
      </c>
      <c r="T8" s="56" t="s">
        <v>453</v>
      </c>
      <c r="U8" s="56" t="s">
        <v>454</v>
      </c>
      <c r="V8" s="56" t="s">
        <v>455</v>
      </c>
      <c r="W8" s="56" t="s">
        <v>456</v>
      </c>
    </row>
    <row r="9" spans="1:23" ht="18" customHeight="1">
      <c r="A9" s="60" t="s">
        <v>90</v>
      </c>
      <c r="B9" s="60"/>
      <c r="C9" s="60"/>
      <c r="D9" s="60"/>
      <c r="E9" s="60"/>
      <c r="F9" s="60"/>
      <c r="G9" s="60"/>
      <c r="H9" s="60"/>
      <c r="I9" s="60"/>
      <c r="J9" s="57">
        <f>IF($B$5="","",$B$5+0)</f>
        <v>46153</v>
      </c>
      <c r="K9" s="57">
        <f>IF($B$5="","",$B$5+1)</f>
        <v>46154</v>
      </c>
      <c r="L9" s="57">
        <f>IF($B$5="","",$B$5+2)</f>
        <v>46155</v>
      </c>
      <c r="M9" s="57">
        <f>IF($B$5="","",$B$5+3)</f>
        <v>46156</v>
      </c>
      <c r="N9" s="57">
        <f>IF($B$5="","",$B$5+4)</f>
        <v>46157</v>
      </c>
      <c r="O9" s="57">
        <f>IF($B$5="","",$B$5+5)</f>
        <v>46158</v>
      </c>
      <c r="P9" s="57">
        <f>IF($B$5="","",$B$5+6)</f>
        <v>46159</v>
      </c>
      <c r="Q9" s="57">
        <f>IF($B$5="","",$B$5+7)</f>
        <v>46160</v>
      </c>
      <c r="R9" s="57">
        <f>IF($B$5="","",$B$5+8)</f>
        <v>46161</v>
      </c>
      <c r="S9" s="57">
        <f>IF($B$5="","",$B$5+9)</f>
        <v>46162</v>
      </c>
      <c r="T9" s="57">
        <f>IF($B$5="","",$B$5+10)</f>
        <v>46163</v>
      </c>
      <c r="U9" s="57">
        <f>IF($B$5="","",$B$5+11)</f>
        <v>46164</v>
      </c>
      <c r="V9" s="57">
        <f>IF($B$5="","",$B$5+12)</f>
        <v>46165</v>
      </c>
      <c r="W9" s="57">
        <f>IF($B$5="","",$B$5+13)</f>
        <v>46166</v>
      </c>
    </row>
    <row r="10" spans="1:23" ht="21.75" customHeight="1">
      <c r="A10" s="26" t="s">
        <v>91</v>
      </c>
      <c r="B10" s="27" t="s">
        <v>92</v>
      </c>
      <c r="C10" s="26"/>
      <c r="D10" s="26"/>
      <c r="E10" s="26"/>
      <c r="F10" s="26"/>
      <c r="G10" s="28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</row>
    <row r="11" spans="1:23" ht="21.75" customHeight="1">
      <c r="A11" s="29" t="s">
        <v>93</v>
      </c>
      <c r="B11" s="30" t="s">
        <v>457</v>
      </c>
      <c r="C11" s="31" t="s">
        <v>441</v>
      </c>
      <c r="D11" s="58">
        <f>$B$5+0</f>
        <v>46153</v>
      </c>
      <c r="E11" s="58">
        <f>$B$5+1</f>
        <v>46154</v>
      </c>
      <c r="F11" s="59">
        <f>IF(AND(D11&lt;&gt;"",E11&lt;&gt;""),E11-D11+1,"")</f>
        <v>2</v>
      </c>
      <c r="G11" s="33">
        <v>1</v>
      </c>
      <c r="H11" s="31" t="s">
        <v>151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</row>
    <row r="12" spans="1:23" ht="21.75" customHeight="1">
      <c r="A12" s="29" t="s">
        <v>97</v>
      </c>
      <c r="B12" s="34" t="s">
        <v>458</v>
      </c>
      <c r="C12" s="31" t="s">
        <v>459</v>
      </c>
      <c r="D12" s="58">
        <f>$B$5+1</f>
        <v>46154</v>
      </c>
      <c r="E12" s="58">
        <f>$B$5+2</f>
        <v>46155</v>
      </c>
      <c r="F12" s="59">
        <f>IF(AND(D12&lt;&gt;"",E12&lt;&gt;""),E12-D12+1,"")</f>
        <v>2</v>
      </c>
      <c r="G12" s="33">
        <v>1</v>
      </c>
      <c r="H12" s="31" t="s">
        <v>151</v>
      </c>
      <c r="I12" s="29" t="s">
        <v>93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</row>
    <row r="13" spans="1:23" ht="21.75" customHeight="1">
      <c r="A13" s="29" t="s">
        <v>99</v>
      </c>
      <c r="B13" s="34" t="s">
        <v>460</v>
      </c>
      <c r="C13" s="31" t="s">
        <v>461</v>
      </c>
      <c r="D13" s="58">
        <f>$B$5+1</f>
        <v>46154</v>
      </c>
      <c r="E13" s="58">
        <f>$B$5+2</f>
        <v>46155</v>
      </c>
      <c r="F13" s="59">
        <f>IF(AND(D13&lt;&gt;"",E13&lt;&gt;""),E13-D13+1,"")</f>
        <v>2</v>
      </c>
      <c r="G13" s="33">
        <v>1</v>
      </c>
      <c r="H13" s="31" t="s">
        <v>151</v>
      </c>
      <c r="I13" s="29" t="s">
        <v>93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</row>
    <row r="14" spans="1:23" ht="21.75" customHeight="1">
      <c r="A14" s="29" t="s">
        <v>101</v>
      </c>
      <c r="B14" s="30" t="s">
        <v>462</v>
      </c>
      <c r="C14" s="31" t="s">
        <v>463</v>
      </c>
      <c r="D14" s="58">
        <f>$B$5+1</f>
        <v>46154</v>
      </c>
      <c r="E14" s="58">
        <f>$B$5+2</f>
        <v>46155</v>
      </c>
      <c r="F14" s="59">
        <f>IF(AND(D14&lt;&gt;"",E14&lt;&gt;""),E14-D14+1,"")</f>
        <v>2</v>
      </c>
      <c r="G14" s="33">
        <v>1</v>
      </c>
      <c r="H14" s="31" t="s">
        <v>151</v>
      </c>
      <c r="I14" s="29" t="s">
        <v>93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</row>
    <row r="15" spans="1:23" ht="21.75" customHeight="1">
      <c r="A15" s="26" t="s">
        <v>104</v>
      </c>
      <c r="B15" s="27" t="s">
        <v>105</v>
      </c>
      <c r="C15" s="26"/>
      <c r="D15" s="26"/>
      <c r="E15" s="26"/>
      <c r="F15" s="26"/>
      <c r="G15" s="28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1:23" ht="21.75" customHeight="1">
      <c r="A16" s="29" t="s">
        <v>106</v>
      </c>
      <c r="B16" s="34" t="s">
        <v>464</v>
      </c>
      <c r="C16" s="31" t="s">
        <v>459</v>
      </c>
      <c r="D16" s="58">
        <f>$B$5+2</f>
        <v>46155</v>
      </c>
      <c r="E16" s="58">
        <f>$B$5+2</f>
        <v>46155</v>
      </c>
      <c r="F16" s="59">
        <f>IF(AND(D16&lt;&gt;"",E16&lt;&gt;""),E16-D16+1,"")</f>
        <v>1</v>
      </c>
      <c r="G16" s="33">
        <v>1</v>
      </c>
      <c r="H16" s="31" t="s">
        <v>151</v>
      </c>
      <c r="I16" s="29" t="s">
        <v>97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</row>
    <row r="17" spans="1:23" ht="21.75" customHeight="1">
      <c r="A17" s="29" t="s">
        <v>108</v>
      </c>
      <c r="B17" s="34" t="s">
        <v>465</v>
      </c>
      <c r="C17" s="31" t="s">
        <v>459</v>
      </c>
      <c r="D17" s="58">
        <f>$B$5+3</f>
        <v>46156</v>
      </c>
      <c r="E17" s="58">
        <f>$B$5+4</f>
        <v>46157</v>
      </c>
      <c r="F17" s="59">
        <f>IF(AND(D17&lt;&gt;"",E17&lt;&gt;""),E17-D17+1,"")</f>
        <v>2</v>
      </c>
      <c r="G17" s="33">
        <v>0.7</v>
      </c>
      <c r="H17" s="31" t="s">
        <v>146</v>
      </c>
      <c r="I17" s="29" t="s">
        <v>106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</row>
    <row r="18" spans="1:23" ht="21.75" customHeight="1">
      <c r="A18" s="29" t="s">
        <v>111</v>
      </c>
      <c r="B18" s="34" t="s">
        <v>466</v>
      </c>
      <c r="C18" s="31" t="s">
        <v>461</v>
      </c>
      <c r="D18" s="58">
        <f>$B$5+3</f>
        <v>46156</v>
      </c>
      <c r="E18" s="58">
        <f>$B$5+5</f>
        <v>46158</v>
      </c>
      <c r="F18" s="59">
        <f>IF(AND(D18&lt;&gt;"",E18&lt;&gt;""),E18-D18+1,"")</f>
        <v>3</v>
      </c>
      <c r="G18" s="33">
        <v>0.5</v>
      </c>
      <c r="H18" s="31" t="s">
        <v>146</v>
      </c>
      <c r="I18" s="29" t="s">
        <v>110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</row>
    <row r="19" spans="1:23" ht="21.75" customHeight="1">
      <c r="A19" s="29" t="s">
        <v>113</v>
      </c>
      <c r="B19" s="34" t="s">
        <v>467</v>
      </c>
      <c r="C19" s="31" t="s">
        <v>459</v>
      </c>
      <c r="D19" s="58">
        <f>$B$5+5</f>
        <v>46158</v>
      </c>
      <c r="E19" s="58">
        <f>$B$5+7</f>
        <v>46160</v>
      </c>
      <c r="F19" s="59">
        <f>IF(AND(D19&lt;&gt;"",E19&lt;&gt;""),E19-D19+1,"")</f>
        <v>3</v>
      </c>
      <c r="G19" s="33">
        <v>0.2</v>
      </c>
      <c r="H19" s="31" t="s">
        <v>147</v>
      </c>
      <c r="I19" s="29" t="s">
        <v>468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</row>
    <row r="20" spans="1:23" ht="21.75" customHeight="1">
      <c r="A20" s="29" t="s">
        <v>469</v>
      </c>
      <c r="B20" s="30" t="s">
        <v>470</v>
      </c>
      <c r="C20" s="31" t="s">
        <v>461</v>
      </c>
      <c r="D20" s="58">
        <f>$B$5+7</f>
        <v>46160</v>
      </c>
      <c r="E20" s="58">
        <f>$B$5+8</f>
        <v>46161</v>
      </c>
      <c r="F20" s="59">
        <f>IF(AND(D20&lt;&gt;"",E20&lt;&gt;""),E20-D20+1,"")</f>
        <v>2</v>
      </c>
      <c r="G20" s="33">
        <v>0</v>
      </c>
      <c r="H20" s="31" t="s">
        <v>96</v>
      </c>
      <c r="I20" s="29" t="s">
        <v>113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</row>
    <row r="21" spans="1:23" ht="21.75" customHeight="1">
      <c r="A21" s="26" t="s">
        <v>115</v>
      </c>
      <c r="B21" s="27" t="s">
        <v>116</v>
      </c>
      <c r="C21" s="26"/>
      <c r="D21" s="26"/>
      <c r="E21" s="26"/>
      <c r="F21" s="26"/>
      <c r="G21" s="28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pans="1:23" ht="21.75" customHeight="1">
      <c r="A22" s="29" t="s">
        <v>117</v>
      </c>
      <c r="B22" s="34" t="s">
        <v>471</v>
      </c>
      <c r="C22" s="31" t="s">
        <v>463</v>
      </c>
      <c r="D22" s="58">
        <f>$B$5+2</f>
        <v>46155</v>
      </c>
      <c r="E22" s="58">
        <f>$B$5+2</f>
        <v>46155</v>
      </c>
      <c r="F22" s="59">
        <f>IF(AND(D22&lt;&gt;"",E22&lt;&gt;""),E22-D22+1,"")</f>
        <v>1</v>
      </c>
      <c r="G22" s="33">
        <v>1</v>
      </c>
      <c r="H22" s="31" t="s">
        <v>151</v>
      </c>
      <c r="I22" s="29" t="s">
        <v>101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</row>
    <row r="23" spans="1:23" ht="21.75" customHeight="1">
      <c r="A23" s="29" t="s">
        <v>119</v>
      </c>
      <c r="B23" s="30" t="s">
        <v>472</v>
      </c>
      <c r="C23" s="31" t="s">
        <v>463</v>
      </c>
      <c r="D23" s="58">
        <f>$B$5+3</f>
        <v>46156</v>
      </c>
      <c r="E23" s="58">
        <f>$B$5+4</f>
        <v>46157</v>
      </c>
      <c r="F23" s="59">
        <f>IF(AND(D23&lt;&gt;"",E23&lt;&gt;""),E23-D23+1,"")</f>
        <v>2</v>
      </c>
      <c r="G23" s="33">
        <v>0.6</v>
      </c>
      <c r="H23" s="31" t="s">
        <v>146</v>
      </c>
      <c r="I23" s="29" t="s">
        <v>117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</row>
    <row r="24" spans="1:23" ht="21.75" customHeight="1">
      <c r="A24" s="29" t="s">
        <v>122</v>
      </c>
      <c r="B24" s="30" t="s">
        <v>473</v>
      </c>
      <c r="C24" s="31" t="s">
        <v>441</v>
      </c>
      <c r="D24" s="58">
        <f>$B$5+4</f>
        <v>46157</v>
      </c>
      <c r="E24" s="58">
        <f>$B$5+6</f>
        <v>46159</v>
      </c>
      <c r="F24" s="59">
        <f>IF(AND(D24&lt;&gt;"",E24&lt;&gt;""),E24-D24+1,"")</f>
        <v>3</v>
      </c>
      <c r="G24" s="33">
        <v>0.3</v>
      </c>
      <c r="H24" s="31" t="s">
        <v>146</v>
      </c>
      <c r="I24" s="29" t="s">
        <v>474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</row>
    <row r="25" spans="1:23" ht="21.75" customHeight="1">
      <c r="A25" s="29" t="s">
        <v>125</v>
      </c>
      <c r="B25" s="30" t="s">
        <v>475</v>
      </c>
      <c r="C25" s="31" t="s">
        <v>441</v>
      </c>
      <c r="D25" s="58">
        <f>$B$5+6</f>
        <v>46159</v>
      </c>
      <c r="E25" s="58">
        <f>$B$5+8</f>
        <v>46161</v>
      </c>
      <c r="F25" s="59">
        <f>IF(AND(D25&lt;&gt;"",E25&lt;&gt;""),E25-D25+1,"")</f>
        <v>3</v>
      </c>
      <c r="G25" s="33">
        <v>0</v>
      </c>
      <c r="H25" s="31" t="s">
        <v>96</v>
      </c>
      <c r="I25" s="29" t="s">
        <v>122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</row>
    <row r="26" spans="1:23" ht="21.75" customHeight="1">
      <c r="A26" s="26" t="s">
        <v>128</v>
      </c>
      <c r="B26" s="27" t="s">
        <v>129</v>
      </c>
      <c r="C26" s="26"/>
      <c r="D26" s="26"/>
      <c r="E26" s="26"/>
      <c r="F26" s="26"/>
      <c r="G26" s="28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1:23" ht="21.75" customHeight="1">
      <c r="A27" s="29" t="s">
        <v>130</v>
      </c>
      <c r="B27" s="34" t="s">
        <v>476</v>
      </c>
      <c r="C27" s="31" t="s">
        <v>461</v>
      </c>
      <c r="D27" s="58">
        <f>$B$5+8</f>
        <v>46161</v>
      </c>
      <c r="E27" s="58">
        <f>$B$5+10</f>
        <v>46163</v>
      </c>
      <c r="F27" s="59">
        <f>IF(AND(D27&lt;&gt;"",E27&lt;&gt;""),E27-D27+1,"")</f>
        <v>3</v>
      </c>
      <c r="G27" s="33">
        <v>0</v>
      </c>
      <c r="H27" s="31" t="s">
        <v>96</v>
      </c>
      <c r="I27" s="29" t="s">
        <v>477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spans="1:23" ht="21.75" customHeight="1">
      <c r="A28" s="29" t="s">
        <v>133</v>
      </c>
      <c r="B28" s="30" t="s">
        <v>478</v>
      </c>
      <c r="C28" s="31" t="s">
        <v>463</v>
      </c>
      <c r="D28" s="58">
        <f>$B$5+10</f>
        <v>46163</v>
      </c>
      <c r="E28" s="58">
        <f>$B$5+11</f>
        <v>46164</v>
      </c>
      <c r="F28" s="59">
        <f>IF(AND(D28&lt;&gt;"",E28&lt;&gt;""),E28-D28+1,"")</f>
        <v>2</v>
      </c>
      <c r="G28" s="33">
        <v>0</v>
      </c>
      <c r="H28" s="31" t="s">
        <v>96</v>
      </c>
      <c r="I28" s="29" t="s">
        <v>130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</row>
    <row r="29" spans="1:23" ht="21.75" customHeight="1">
      <c r="A29" s="29" t="s">
        <v>135</v>
      </c>
      <c r="B29" s="30" t="s">
        <v>479</v>
      </c>
      <c r="C29" s="31" t="s">
        <v>459</v>
      </c>
      <c r="D29" s="58">
        <f>$B$5+11</f>
        <v>46164</v>
      </c>
      <c r="E29" s="58">
        <f>$B$5+12</f>
        <v>46165</v>
      </c>
      <c r="F29" s="59">
        <f>IF(AND(D29&lt;&gt;"",E29&lt;&gt;""),E29-D29+1,"")</f>
        <v>2</v>
      </c>
      <c r="G29" s="33">
        <v>0</v>
      </c>
      <c r="H29" s="31" t="s">
        <v>96</v>
      </c>
      <c r="I29" s="29" t="s">
        <v>133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</row>
    <row r="30" spans="1:23" ht="21.75" customHeight="1">
      <c r="A30" s="26" t="s">
        <v>137</v>
      </c>
      <c r="B30" s="27" t="s">
        <v>138</v>
      </c>
      <c r="C30" s="26"/>
      <c r="D30" s="26"/>
      <c r="E30" s="26"/>
      <c r="F30" s="26"/>
      <c r="G30" s="28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 ht="21.75" customHeight="1">
      <c r="A31" s="29" t="s">
        <v>139</v>
      </c>
      <c r="B31" s="30" t="s">
        <v>480</v>
      </c>
      <c r="C31" s="31" t="s">
        <v>441</v>
      </c>
      <c r="D31" s="58">
        <f>$B$5+11</f>
        <v>46164</v>
      </c>
      <c r="E31" s="58">
        <f>$B$5+12</f>
        <v>46165</v>
      </c>
      <c r="F31" s="59">
        <f>IF(AND(D31&lt;&gt;"",E31&lt;&gt;""),E31-D31+1,"")</f>
        <v>2</v>
      </c>
      <c r="G31" s="33">
        <v>0</v>
      </c>
      <c r="H31" s="31" t="s">
        <v>96</v>
      </c>
      <c r="I31" s="29" t="s">
        <v>133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</row>
    <row r="32" spans="1:23" ht="21.75" customHeight="1">
      <c r="A32" s="29" t="s">
        <v>141</v>
      </c>
      <c r="B32" s="30" t="s">
        <v>481</v>
      </c>
      <c r="C32" s="31" t="s">
        <v>463</v>
      </c>
      <c r="D32" s="58">
        <f>$B$5+12</f>
        <v>46165</v>
      </c>
      <c r="E32" s="58">
        <f>$B$5+13</f>
        <v>46166</v>
      </c>
      <c r="F32" s="59">
        <f>IF(AND(D32&lt;&gt;"",E32&lt;&gt;""),E32-D32+1,"")</f>
        <v>2</v>
      </c>
      <c r="G32" s="33">
        <v>0</v>
      </c>
      <c r="H32" s="31" t="s">
        <v>96</v>
      </c>
      <c r="I32" s="29" t="s">
        <v>139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</row>
    <row r="33" spans="1:23" ht="21.75" customHeight="1">
      <c r="A33" s="29" t="s">
        <v>143</v>
      </c>
      <c r="B33" s="30" t="s">
        <v>144</v>
      </c>
      <c r="C33" s="31" t="s">
        <v>441</v>
      </c>
      <c r="D33" s="58">
        <f>$B$5+13</f>
        <v>46166</v>
      </c>
      <c r="E33" s="58">
        <f>$B$5+13</f>
        <v>46166</v>
      </c>
      <c r="F33" s="59">
        <f>IF(AND(D33&lt;&gt;"",E33&lt;&gt;""),E33-D33+1,"")</f>
        <v>1</v>
      </c>
      <c r="G33" s="33">
        <v>0</v>
      </c>
      <c r="H33" s="31" t="s">
        <v>96</v>
      </c>
      <c r="I33" s="29" t="s">
        <v>141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</row>
    <row r="36" spans="1:23" ht="15.75" customHeight="1">
      <c r="A36" s="61" t="s">
        <v>145</v>
      </c>
      <c r="B36" s="61"/>
      <c r="C36" s="61"/>
      <c r="D36" s="61"/>
    </row>
    <row r="37" spans="1:23" ht="15" customHeight="1">
      <c r="A37" s="35" t="s">
        <v>96</v>
      </c>
      <c r="B37" s="62" t="s">
        <v>40</v>
      </c>
      <c r="C37" s="62"/>
      <c r="D37" s="62"/>
      <c r="E37" s="62"/>
      <c r="F37" s="62"/>
      <c r="G37" s="62"/>
      <c r="H37" s="62"/>
      <c r="I37" s="62"/>
    </row>
    <row r="38" spans="1:23" ht="15" customHeight="1">
      <c r="A38" s="36" t="s">
        <v>146</v>
      </c>
      <c r="B38" s="62" t="s">
        <v>42</v>
      </c>
      <c r="C38" s="62"/>
      <c r="D38" s="62"/>
      <c r="E38" s="62"/>
      <c r="F38" s="62"/>
      <c r="G38" s="62"/>
      <c r="H38" s="62"/>
      <c r="I38" s="62"/>
    </row>
    <row r="39" spans="1:23" ht="15" customHeight="1">
      <c r="A39" s="37" t="s">
        <v>147</v>
      </c>
      <c r="B39" s="62" t="s">
        <v>148</v>
      </c>
      <c r="C39" s="62"/>
      <c r="D39" s="62"/>
      <c r="E39" s="62"/>
      <c r="F39" s="62"/>
      <c r="G39" s="62"/>
      <c r="H39" s="62"/>
      <c r="I39" s="62"/>
    </row>
    <row r="40" spans="1:23" ht="15" customHeight="1">
      <c r="A40" s="38" t="s">
        <v>149</v>
      </c>
      <c r="B40" s="62" t="s">
        <v>150</v>
      </c>
      <c r="C40" s="62"/>
      <c r="D40" s="62"/>
      <c r="E40" s="62"/>
      <c r="F40" s="62"/>
      <c r="G40" s="62"/>
      <c r="H40" s="62"/>
      <c r="I40" s="62"/>
    </row>
    <row r="41" spans="1:23" ht="15" customHeight="1">
      <c r="A41" s="39" t="s">
        <v>151</v>
      </c>
      <c r="B41" s="62" t="s">
        <v>152</v>
      </c>
      <c r="C41" s="62"/>
      <c r="D41" s="62"/>
      <c r="E41" s="62"/>
      <c r="F41" s="62"/>
      <c r="G41" s="62"/>
      <c r="H41" s="62"/>
      <c r="I41" s="62"/>
    </row>
  </sheetData>
  <mergeCells count="18">
    <mergeCell ref="B39:I39"/>
    <mergeCell ref="B40:I40"/>
    <mergeCell ref="B41:I41"/>
    <mergeCell ref="Q7:W7"/>
    <mergeCell ref="A9:I9"/>
    <mergeCell ref="A36:D36"/>
    <mergeCell ref="B37:I37"/>
    <mergeCell ref="B38:I38"/>
    <mergeCell ref="B5:C5"/>
    <mergeCell ref="E5:F5"/>
    <mergeCell ref="H5:I5"/>
    <mergeCell ref="A7:I7"/>
    <mergeCell ref="J7:P7"/>
    <mergeCell ref="A1:W1"/>
    <mergeCell ref="B3:F3"/>
    <mergeCell ref="H3:I3"/>
    <mergeCell ref="B4:F4"/>
    <mergeCell ref="H4:I4"/>
  </mergeCells>
  <phoneticPr fontId="49" type="noConversion"/>
  <conditionalFormatting sqref="H10:H33">
    <cfRule type="cellIs" dxfId="18" priority="2" operator="equal">
      <formula>"시작 전"</formula>
    </cfRule>
    <cfRule type="cellIs" dxfId="17" priority="3" operator="equal">
      <formula>"진행 중"</formula>
    </cfRule>
    <cfRule type="cellIs" dxfId="16" priority="4" operator="equal">
      <formula>"주의"</formula>
    </cfRule>
    <cfRule type="cellIs" dxfId="15" priority="5" operator="equal">
      <formula>"지연"</formula>
    </cfRule>
    <cfRule type="cellIs" dxfId="14" priority="6" operator="equal">
      <formula>"완료"</formula>
    </cfRule>
  </conditionalFormatting>
  <conditionalFormatting sqref="G10:G33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10:W33">
    <cfRule type="expression" dxfId="13" priority="8">
      <formula>AND($D10&lt;&gt;"",$E10&lt;&gt;"",J$9&gt;=$D10,J$9&lt;=$E10,$H10="완료")</formula>
    </cfRule>
    <cfRule type="expression" dxfId="12" priority="9">
      <formula>AND($D10&lt;&gt;"",$E10&lt;&gt;"",J$9&gt;=$D10,J$9&lt;=$E10,$H10="진행 중")</formula>
    </cfRule>
    <cfRule type="expression" dxfId="11" priority="10">
      <formula>AND($D10&lt;&gt;"",$E10&lt;&gt;"",J$9&gt;=$D10,J$9&lt;=$E10,$H10="주의")</formula>
    </cfRule>
    <cfRule type="expression" dxfId="10" priority="11">
      <formula>AND($D10&lt;&gt;"",$E10&lt;&gt;"",J$9&gt;=$D10,J$9&lt;=$E10,$H10="지연")</formula>
    </cfRule>
    <cfRule type="expression" dxfId="9" priority="12">
      <formula>AND($D10&lt;&gt;"",$E10&lt;&gt;"",J$9&gt;=$D10,J$9&lt;=$E10,$H10="시작 전")</formula>
    </cfRule>
    <cfRule type="expression" dxfId="8" priority="13">
      <formula>AND($D10&lt;&gt;"",$E10&lt;&gt;"",J$9&gt;=$D10,J$9&lt;=$E10)</formula>
    </cfRule>
  </conditionalFormatting>
  <conditionalFormatting sqref="J9:W9">
    <cfRule type="expression" dxfId="7" priority="14">
      <formula>J$9=TODAY()</formula>
    </cfRule>
    <cfRule type="expression" dxfId="6" priority="15">
      <formula>OR(WEEKDAY(J$9,2)=6,WEEKDAY(J$9,2)=7)</formula>
    </cfRule>
  </conditionalFormatting>
  <dataValidations count="1">
    <dataValidation type="list" allowBlank="1" errorTitle="잘못된 입력" error="목록에서 선택하세요" promptTitle="상태 선택" prompt="상태를 선택하세요" sqref="H10:H33" xr:uid="{00000000-0002-0000-0300-000000000000}">
      <formula1>"시작 전,진행 중,주의,지연,완료"</formula1>
      <formula2>0</formula2>
    </dataValidation>
  </dataValidations>
  <pageMargins left="0.3" right="0.3" top="0.4" bottom="0.4" header="0.511811023622047" footer="0.511811023622047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사용 가이드</vt:lpstr>
      <vt:lpstr>🗓️ 간트 차트</vt:lpstr>
      <vt:lpstr>📋 WBS 분해도</vt:lpstr>
      <vt:lpstr>🔵 샘플 (AI 자소서 코칭)</vt:lpstr>
      <vt:lpstr>'🔵 샘플 (AI 자소서 코칭)'!Print_Area</vt:lpstr>
      <vt:lpstr>'🗓️ 간트 차트'!Print_Area</vt:lpstr>
      <vt:lpstr>'사용 가이드'!Print_Area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SSAFY</cp:lastModifiedBy>
  <cp:revision>0</cp:revision>
  <dcterms:created xsi:type="dcterms:W3CDTF">2026-05-06T03:18:14Z</dcterms:created>
  <dcterms:modified xsi:type="dcterms:W3CDTF">2026-05-08T07:26:52Z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  <property fmtid="{D5CDD505-2E9C-101B-9397-08002B2CF9AE}" pid="3" name="MediaServiceImageTags">
    <vt:lpwstr/>
  </property>
</Properties>
</file>